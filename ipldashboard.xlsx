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dmin\Desktop\EXCEL PROJECT\"/>
    </mc:Choice>
  </mc:AlternateContent>
  <xr:revisionPtr revIDLastSave="0" documentId="13_ncr:1_{0D27858A-5E86-429A-9739-A8F32F30A6B8}" xr6:coauthVersionLast="47" xr6:coauthVersionMax="47" xr10:uidLastSave="{00000000-0000-0000-0000-000000000000}"/>
  <bookViews>
    <workbookView xWindow="-110" yWindow="-110" windowWidth="19420" windowHeight="10420" firstSheet="6" activeTab="10" xr2:uid="{8282E3EE-3886-4955-AC8E-ECD0BC351EFA}"/>
  </bookViews>
  <sheets>
    <sheet name="fact_player" sheetId="6" r:id="rId1"/>
    <sheet name="Team_summery" sheetId="8" r:id="rId2"/>
    <sheet name="Team performace  dashboard " sheetId="12" r:id="rId3"/>
    <sheet name="player_summary" sheetId="7" state="hidden" r:id="rId4"/>
    <sheet name="fact_match" sheetId="5" r:id="rId5"/>
    <sheet name="dim_venue" sheetId="4" r:id="rId6"/>
    <sheet name="dim_team" sheetId="3" r:id="rId7"/>
    <sheet name="dim_player" sheetId="2" r:id="rId8"/>
    <sheet name="Sheet1" sheetId="16" r:id="rId9"/>
    <sheet name="playershit" sheetId="1" r:id="rId10"/>
    <sheet name="playerDashboard" sheetId="17" r:id="rId11"/>
  </sheets>
  <definedNames>
    <definedName name="_xlcn.WorksheetConnection_Book1dim_player1" hidden="1">dim_player[]</definedName>
    <definedName name="_xlcn.WorksheetConnection_Book1dim_team1" hidden="1">dim_team[]</definedName>
    <definedName name="_xlcn.WorksheetConnection_Book1dim_venue1" hidden="1">dim_venue[]</definedName>
    <definedName name="_xlcn.WorksheetConnection_Book1fact_match1" hidden="1">fact_match[]</definedName>
    <definedName name="_xlcn.WorksheetConnection_Book1fact_player1" hidden="1">fact_player[]</definedName>
    <definedName name="ExternalData_1" localSheetId="7" hidden="1">dim_player!$A$1:$H$34</definedName>
    <definedName name="ExternalData_1" localSheetId="8" hidden="1">Sheet1!$A$3:$K$143</definedName>
    <definedName name="ExternalData_2" localSheetId="6" hidden="1">dim_team!$A$1:$G$9</definedName>
    <definedName name="ExternalData_3" localSheetId="5" hidden="1">dim_venue!$A$1:$D$11</definedName>
    <definedName name="ExternalData_4" localSheetId="4" hidden="1">fact_match!$A$1:$N$61</definedName>
    <definedName name="ExternalData_5" localSheetId="0" hidden="1">fact_player!$A$1:$K$141</definedName>
    <definedName name="Slicer_Team_Name">#N/A</definedName>
    <definedName name="Slicer_Venue_Name">#N/A</definedName>
    <definedName name="Slicer_Venue_Name1">#N/A</definedName>
  </definedNames>
  <calcPr calcId="191029"/>
  <pivotCaches>
    <pivotCache cacheId="0" r:id="rId12"/>
    <pivotCache cacheId="1838" r:id="rId13"/>
    <pivotCache cacheId="1841" r:id="rId14"/>
    <pivotCache cacheId="1844" r:id="rId15"/>
    <pivotCache cacheId="1847" r:id="rId16"/>
    <pivotCache cacheId="2600" r:id="rId17"/>
    <pivotCache cacheId="2603" r:id="rId18"/>
    <pivotCache cacheId="2606" r:id="rId19"/>
    <pivotCache cacheId="2609" r:id="rId20"/>
    <pivotCache cacheId="2612" r:id="rId21"/>
  </pivotCaches>
  <extLst>
    <ext xmlns:x14="http://schemas.microsoft.com/office/spreadsheetml/2009/9/main" uri="{876F7934-8845-4945-9796-88D515C7AA90}">
      <x14:pivotCaches>
        <pivotCache cacheId="10"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 name="fact_player" connection="WorksheetConnection_Book1!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player" fromColumn="Player_ID" toTable="dim_player" toColumn="Player_ID"/>
          <x15:modelRelationship fromTable="fact_player" fromColumn="Match_ID" toTable="fact_match" toColumn="Match_ID"/>
          <x15:modelRelationship fromTable="fact_match" fromColumn="Team1_ID" toTable="dim_team" toColumn="Team_ID"/>
          <x15:modelRelationship fromTable="fact_match" fromColumn="Venue_ID" toTable="dim_venue" toColumn="Venu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2" i="8" l="1"/>
  <c r="G6" i="12" s="1"/>
  <c r="M3" i="17"/>
  <c r="Q3" i="17"/>
  <c r="AE18" i="12"/>
  <c r="Y6" i="12"/>
  <c r="A6" i="12"/>
  <c r="AE6"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140768-66E4-4E34-B4E7-822FE2A2360A}" keepAlive="1" name="ModelConnection_ExternalData_14" description="Data Model" type="5" refreshedVersion="7" minRefreshableVersion="5" saveData="1">
    <dbPr connection="Data Model Connection" command="DRILLTHROUGH MAXROWS 1000 SELECT FROM [Model] WHERE ([Measures].[Sum of Economy]) RETURN [$fact_player].[Match_ID],[$fact_player].[Player_ID],[$fact_player].[Runs],[$fact_player].[Balls_Faced],[$fact_player].[Fours],[$fact_player].[Sixes],[$fact_player].[Strike_Rate],[$fact_player].[Overs_Bowled],[$fact_player].[Runs_Conceded],[$fact_player].[Wickets],[$fact_player].[Economy]" commandType="4"/>
    <extLst>
      <ext xmlns:x15="http://schemas.microsoft.com/office/spreadsheetml/2010/11/main" uri="{DE250136-89BD-433C-8126-D09CA5730AF9}">
        <x15:connection id="" model="1"/>
      </ext>
    </extLst>
  </connection>
  <connection id="2" xr16:uid="{A1243B5C-B84B-4730-A249-964B4A95E27C}" keepAlive="1" name="Query - dim_player" description="Connection to the 'dim_player' query in the workbook." type="5" refreshedVersion="7" background="1" saveData="1">
    <dbPr connection="Provider=Microsoft.Mashup.OleDb.1;Data Source=$Workbook$;Location=dim_player;Extended Properties=&quot;&quot;" command="SELECT * FROM [dim_player]"/>
  </connection>
  <connection id="3" xr16:uid="{EFA7474D-3262-4F7B-9E4B-945DA1BD9801}" keepAlive="1" name="Query - dim_team" description="Connection to the 'dim_team' query in the workbook." type="5" refreshedVersion="7" background="1" saveData="1">
    <dbPr connection="Provider=Microsoft.Mashup.OleDb.1;Data Source=$Workbook$;Location=dim_team;Extended Properties=&quot;&quot;" command="SELECT * FROM [dim_team]"/>
  </connection>
  <connection id="4" xr16:uid="{D9D521DA-C012-43C4-90FD-1FB979C992EA}" keepAlive="1" name="Query - dim_venue" description="Connection to the 'dim_venue' query in the workbook." type="5" refreshedVersion="7" background="1" saveData="1">
    <dbPr connection="Provider=Microsoft.Mashup.OleDb.1;Data Source=$Workbook$;Location=dim_venue;Extended Properties=&quot;&quot;" command="SELECT * FROM [dim_venue]"/>
  </connection>
  <connection id="5" xr16:uid="{31C369C6-831A-4573-8FF7-DA3B367B087C}" keepAlive="1" name="Query - fact_match" description="Connection to the 'fact_match' query in the workbook." type="5" refreshedVersion="7" background="1" saveData="1">
    <dbPr connection="Provider=Microsoft.Mashup.OleDb.1;Data Source=$Workbook$;Location=fact_match;Extended Properties=&quot;&quot;" command="SELECT * FROM [fact_match]"/>
  </connection>
  <connection id="6" xr16:uid="{F89D9351-80DA-47A3-9F4F-226E39482882}" keepAlive="1" name="Query - fact_player" description="Connection to the 'fact_player' query in the workbook." type="5" refreshedVersion="7" background="1" saveData="1">
    <dbPr connection="Provider=Microsoft.Mashup.OleDb.1;Data Source=$Workbook$;Location=fact_player;Extended Properties=&quot;&quot;" command="SELECT * FROM [fact_player]"/>
  </connection>
  <connection id="7" xr16:uid="{91FA9C0A-E774-4B4D-AF37-F7CAA0C19C4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D1DE4C20-35CD-4BD3-A211-B35E13BCB576}" name="WorksheetConnection_Book1!dim_player" type="102" refreshedVersion="7" minRefreshableVersion="5">
    <extLst>
      <ext xmlns:x15="http://schemas.microsoft.com/office/spreadsheetml/2010/11/main" uri="{DE250136-89BD-433C-8126-D09CA5730AF9}">
        <x15:connection id="dim_player">
          <x15:rangePr sourceName="_xlcn.WorksheetConnection_Book1dim_player1"/>
        </x15:connection>
      </ext>
    </extLst>
  </connection>
  <connection id="9" xr16:uid="{598C19E3-60A6-4685-B221-AD8380A00E22}" name="WorksheetConnection_Book1!dim_team" type="102" refreshedVersion="7" minRefreshableVersion="5">
    <extLst>
      <ext xmlns:x15="http://schemas.microsoft.com/office/spreadsheetml/2010/11/main" uri="{DE250136-89BD-433C-8126-D09CA5730AF9}">
        <x15:connection id="dim_team">
          <x15:rangePr sourceName="_xlcn.WorksheetConnection_Book1dim_team1"/>
        </x15:connection>
      </ext>
    </extLst>
  </connection>
  <connection id="10" xr16:uid="{D49B0689-2537-497B-8D5D-F98F5ECBA373}" name="WorksheetConnection_Book1!dim_venue" type="102" refreshedVersion="7" minRefreshableVersion="5">
    <extLst>
      <ext xmlns:x15="http://schemas.microsoft.com/office/spreadsheetml/2010/11/main" uri="{DE250136-89BD-433C-8126-D09CA5730AF9}">
        <x15:connection id="dim_venue">
          <x15:rangePr sourceName="_xlcn.WorksheetConnection_Book1dim_venue1"/>
        </x15:connection>
      </ext>
    </extLst>
  </connection>
  <connection id="11" xr16:uid="{4D64EC43-6F9C-4645-96D8-EFA8656AA4CC}" name="WorksheetConnection_Book1!fact_match" type="102" refreshedVersion="7" minRefreshableVersion="5">
    <extLst>
      <ext xmlns:x15="http://schemas.microsoft.com/office/spreadsheetml/2010/11/main" uri="{DE250136-89BD-433C-8126-D09CA5730AF9}">
        <x15:connection id="fact_match">
          <x15:rangePr sourceName="_xlcn.WorksheetConnection_Book1fact_match1"/>
        </x15:connection>
      </ext>
    </extLst>
  </connection>
  <connection id="12" xr16:uid="{CA00CDB2-BC09-460A-8B4D-ECE308F55FB9}" name="WorksheetConnection_Book1!fact_player" type="102" refreshedVersion="7" minRefreshableVersion="5">
    <extLst>
      <ext xmlns:x15="http://schemas.microsoft.com/office/spreadsheetml/2010/11/main" uri="{DE250136-89BD-433C-8126-D09CA5730AF9}">
        <x15:connection id="fact_player">
          <x15:rangePr sourceName="_xlcn.WorksheetConnection_Book1fact_player1"/>
        </x15:connection>
      </ext>
    </extLst>
  </connection>
</connections>
</file>

<file path=xl/sharedStrings.xml><?xml version="1.0" encoding="utf-8"?>
<sst xmlns="http://schemas.openxmlformats.org/spreadsheetml/2006/main" count="1620" uniqueCount="452">
  <si>
    <t>Player_ID</t>
  </si>
  <si>
    <t>Player_Name</t>
  </si>
  <si>
    <t>Team_ID</t>
  </si>
  <si>
    <t>Role</t>
  </si>
  <si>
    <t>Nationality</t>
  </si>
  <si>
    <t>Age</t>
  </si>
  <si>
    <t>Batting_Style</t>
  </si>
  <si>
    <t>Bowling_Style</t>
  </si>
  <si>
    <t>P001</t>
  </si>
  <si>
    <t>Suryakumar Yadav</t>
  </si>
  <si>
    <t>T01</t>
  </si>
  <si>
    <t>Batsman</t>
  </si>
  <si>
    <t>Indian</t>
  </si>
  <si>
    <t>33</t>
  </si>
  <si>
    <t>Right-hand Bat</t>
  </si>
  <si>
    <t>Off-break</t>
  </si>
  <si>
    <t>P002</t>
  </si>
  <si>
    <t>Jasprit Bumrah</t>
  </si>
  <si>
    <t>Bowler</t>
  </si>
  <si>
    <t>31</t>
  </si>
  <si>
    <t>Right-arm Fast</t>
  </si>
  <si>
    <t>P003</t>
  </si>
  <si>
    <t>Ishan Kishan</t>
  </si>
  <si>
    <t>Wicketkeeper</t>
  </si>
  <si>
    <t>26</t>
  </si>
  <si>
    <t>Left-hand Bat</t>
  </si>
  <si>
    <t>None</t>
  </si>
  <si>
    <t>P004</t>
  </si>
  <si>
    <t>Tilak Varma</t>
  </si>
  <si>
    <t>All-Rounder</t>
  </si>
  <si>
    <t>22</t>
  </si>
  <si>
    <t>P005</t>
  </si>
  <si>
    <t>Hardik Pandya</t>
  </si>
  <si>
    <t>Right-arm Medium</t>
  </si>
  <si>
    <t>P006</t>
  </si>
  <si>
    <t>Shivam Dube</t>
  </si>
  <si>
    <t>T02</t>
  </si>
  <si>
    <t>P007</t>
  </si>
  <si>
    <t>Deepak Chahar</t>
  </si>
  <si>
    <t>32</t>
  </si>
  <si>
    <t>Right-arm Medium-Fast</t>
  </si>
  <si>
    <t>P008</t>
  </si>
  <si>
    <t>Daryl Mitchell</t>
  </si>
  <si>
    <t>New Zealander</t>
  </si>
  <si>
    <t>P009</t>
  </si>
  <si>
    <t>Matheesha Pathirana</t>
  </si>
  <si>
    <t>Sri Lankan</t>
  </si>
  <si>
    <t>P010</t>
  </si>
  <si>
    <t>Virat Kohli</t>
  </si>
  <si>
    <t>T03</t>
  </si>
  <si>
    <t>36</t>
  </si>
  <si>
    <t>P011</t>
  </si>
  <si>
    <t>Mohammed Siraj</t>
  </si>
  <si>
    <t>P012</t>
  </si>
  <si>
    <t>Glenn Maxwell</t>
  </si>
  <si>
    <t>Australian</t>
  </si>
  <si>
    <t>P013</t>
  </si>
  <si>
    <t>Dinesh Karthik</t>
  </si>
  <si>
    <t>39</t>
  </si>
  <si>
    <t>P014</t>
  </si>
  <si>
    <t>Rinku Singh</t>
  </si>
  <si>
    <t>T04</t>
  </si>
  <si>
    <t>27</t>
  </si>
  <si>
    <t>P015</t>
  </si>
  <si>
    <t>Andre Russell</t>
  </si>
  <si>
    <t>West Indian</t>
  </si>
  <si>
    <t>P016</t>
  </si>
  <si>
    <t>Sunil Narine</t>
  </si>
  <si>
    <t>P017</t>
  </si>
  <si>
    <t>Varun Chakravarthy</t>
  </si>
  <si>
    <t>Leg-break</t>
  </si>
  <si>
    <t>P018</t>
  </si>
  <si>
    <t>David Warner</t>
  </si>
  <si>
    <t>T05</t>
  </si>
  <si>
    <t>38</t>
  </si>
  <si>
    <t>P019</t>
  </si>
  <si>
    <t>Kuldeep Yadav</t>
  </si>
  <si>
    <t>30</t>
  </si>
  <si>
    <t>Left-arm Chinaman</t>
  </si>
  <si>
    <t>P020</t>
  </si>
  <si>
    <t>Mitchell Marsh</t>
  </si>
  <si>
    <t>P021</t>
  </si>
  <si>
    <t>Axar Patel</t>
  </si>
  <si>
    <t>Left-arm Off-break</t>
  </si>
  <si>
    <t>P022</t>
  </si>
  <si>
    <t>Jos Buttler</t>
  </si>
  <si>
    <t>T06</t>
  </si>
  <si>
    <t>English</t>
  </si>
  <si>
    <t>34</t>
  </si>
  <si>
    <t>P023</t>
  </si>
  <si>
    <t>Yuzvendra Chahal</t>
  </si>
  <si>
    <t>P024</t>
  </si>
  <si>
    <t>Trent Boult</t>
  </si>
  <si>
    <t>35</t>
  </si>
  <si>
    <t>Left-arm Fast-Medium</t>
  </si>
  <si>
    <t>P025</t>
  </si>
  <si>
    <t>Yashasvi Jaiswal</t>
  </si>
  <si>
    <t>23</t>
  </si>
  <si>
    <t>P026</t>
  </si>
  <si>
    <t>Liam Livingstone</t>
  </si>
  <si>
    <t>T07</t>
  </si>
  <si>
    <t>P027</t>
  </si>
  <si>
    <t>Arshdeep Singh</t>
  </si>
  <si>
    <t>25</t>
  </si>
  <si>
    <t>Left-arm Medium-Fast</t>
  </si>
  <si>
    <t>P028</t>
  </si>
  <si>
    <t>Jitesh Sharma</t>
  </si>
  <si>
    <t>P029</t>
  </si>
  <si>
    <t>Kagiso Rabada</t>
  </si>
  <si>
    <t>South African</t>
  </si>
  <si>
    <t>29</t>
  </si>
  <si>
    <t>P030</t>
  </si>
  <si>
    <t>Abhishek Sharma</t>
  </si>
  <si>
    <t>T08</t>
  </si>
  <si>
    <t>24</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</si>
  <si>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</si>
  <si>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</si>
  <si>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</si>
  <si>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</si>
  <si>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</si>
  <si>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</si>
  <si>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</si>
  <si>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</si>
  <si>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</si>
  <si>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</si>
  <si>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</si>
  <si>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</si>
  <si>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</si>
  <si>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</si>
  <si>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</si>
  <si>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</si>
  <si>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</si>
  <si>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</si>
  <si>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</si>
  <si>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</si>
  <si>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</si>
  <si>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</si>
  <si>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</si>
  <si>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</si>
  <si>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</si>
  <si>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</si>
  <si>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</si>
  <si>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</si>
  <si>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</si>
  <si>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</si>
  <si>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</si>
  <si>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</si>
  <si>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</si>
  <si>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</si>
  <si>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</si>
  <si>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</si>
  <si>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</si>
  <si>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</si>
  <si>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</si>
  <si>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</si>
  <si>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</si>
  <si>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</si>
  <si>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</si>
  <si>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</si>
  <si>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</si>
  <si>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</si>
  <si>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</si>
  <si>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</si>
  <si>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</si>
  <si>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</si>
  <si>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</si>
  <si>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</si>
  <si>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</si>
  <si>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</si>
  <si>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</si>
  <si>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</si>
  <si>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</si>
  <si>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</si>
  <si>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</si>
  <si>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</si>
  <si>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</si>
  <si>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</si>
  <si>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</si>
  <si>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</si>
  <si>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33108</t>
  </si>
  <si>
    <t>V02</t>
  </si>
  <si>
    <t>38000</t>
  </si>
  <si>
    <t>V03</t>
  </si>
  <si>
    <t>42000</t>
  </si>
  <si>
    <t>V04</t>
  </si>
  <si>
    <t>68000</t>
  </si>
  <si>
    <t>V05</t>
  </si>
  <si>
    <t>41820</t>
  </si>
  <si>
    <t>V06</t>
  </si>
  <si>
    <t>30000</t>
  </si>
  <si>
    <t>V07</t>
  </si>
  <si>
    <t>V08</t>
  </si>
  <si>
    <t>39200</t>
  </si>
  <si>
    <t>V09</t>
  </si>
  <si>
    <t>Narendra Modi Stadium</t>
  </si>
  <si>
    <t>Ahmedabad</t>
  </si>
  <si>
    <t>132000</t>
  </si>
  <si>
    <t>V10</t>
  </si>
  <si>
    <t>Bharat Ratna Shri Atal Bihari Vajpayee Ekana Cricket Stadium</t>
  </si>
  <si>
    <t>Lucknow</t>
  </si>
  <si>
    <t>50000</t>
  </si>
  <si>
    <t>Match_ID</t>
  </si>
  <si>
    <t>Date</t>
  </si>
  <si>
    <t>Team1_ID</t>
  </si>
  <si>
    <t>Team2_ID</t>
  </si>
  <si>
    <t>Toss_Winner</t>
  </si>
  <si>
    <t>Match_Winner</t>
  </si>
  <si>
    <t>Man_of_Match</t>
  </si>
  <si>
    <t>Team1_Runs</t>
  </si>
  <si>
    <t>Team2_Runs</t>
  </si>
  <si>
    <t>Team1_Wickets</t>
  </si>
  <si>
    <t>Team2_Wickets</t>
  </si>
  <si>
    <t>Overs_Team1</t>
  </si>
  <si>
    <t>Overs_Team2</t>
  </si>
  <si>
    <t>M001</t>
  </si>
  <si>
    <t>3/22/2025</t>
  </si>
  <si>
    <t>M002</t>
  </si>
  <si>
    <t>3/23/2025</t>
  </si>
  <si>
    <t>M003</t>
  </si>
  <si>
    <t>M004</t>
  </si>
  <si>
    <t>3/24/2025</t>
  </si>
  <si>
    <t>M005</t>
  </si>
  <si>
    <t>3/25/2025</t>
  </si>
  <si>
    <t>M006</t>
  </si>
  <si>
    <t>3/26/2025</t>
  </si>
  <si>
    <t>M007</t>
  </si>
  <si>
    <t>3/27/2025</t>
  </si>
  <si>
    <t>M008</t>
  </si>
  <si>
    <t>3/28/2025</t>
  </si>
  <si>
    <t>M009</t>
  </si>
  <si>
    <t>3/29/2025</t>
  </si>
  <si>
    <t>M010</t>
  </si>
  <si>
    <t>3/30/2025</t>
  </si>
  <si>
    <t>M011</t>
  </si>
  <si>
    <t>3/31/2025</t>
  </si>
  <si>
    <t>M012</t>
  </si>
  <si>
    <t>4/1/2025</t>
  </si>
  <si>
    <t>M013</t>
  </si>
  <si>
    <t>4/2/2025</t>
  </si>
  <si>
    <t>M014</t>
  </si>
  <si>
    <t>4/3/2025</t>
  </si>
  <si>
    <t>M015</t>
  </si>
  <si>
    <t>4/4/2025</t>
  </si>
  <si>
    <t>M016</t>
  </si>
  <si>
    <t>4/5/2025</t>
  </si>
  <si>
    <t>M017</t>
  </si>
  <si>
    <t>4/6/2025</t>
  </si>
  <si>
    <t>M018</t>
  </si>
  <si>
    <t>4/7/2025</t>
  </si>
  <si>
    <t>M019</t>
  </si>
  <si>
    <t>4/8/2025</t>
  </si>
  <si>
    <t>M020</t>
  </si>
  <si>
    <t>4/9/2025</t>
  </si>
  <si>
    <t>M021</t>
  </si>
  <si>
    <t>4/10/2025</t>
  </si>
  <si>
    <t>M022</t>
  </si>
  <si>
    <t>4/11/2025</t>
  </si>
  <si>
    <t>M023</t>
  </si>
  <si>
    <t>4/12/2025</t>
  </si>
  <si>
    <t>M024</t>
  </si>
  <si>
    <t>4/13/2025</t>
  </si>
  <si>
    <t>M025</t>
  </si>
  <si>
    <t>4/14/2025</t>
  </si>
  <si>
    <t>M026</t>
  </si>
  <si>
    <t>4/15/2025</t>
  </si>
  <si>
    <t>M027</t>
  </si>
  <si>
    <t>4/16/2025</t>
  </si>
  <si>
    <t>M028</t>
  </si>
  <si>
    <t>4/17/2025</t>
  </si>
  <si>
    <t>M029</t>
  </si>
  <si>
    <t>4/18/2025</t>
  </si>
  <si>
    <t>M030</t>
  </si>
  <si>
    <t>4/19/2025</t>
  </si>
  <si>
    <t>M031</t>
  </si>
  <si>
    <t>4/20/2025</t>
  </si>
  <si>
    <t>M032</t>
  </si>
  <si>
    <t>4/21/2025</t>
  </si>
  <si>
    <t>M033</t>
  </si>
  <si>
    <t>4/22/2025</t>
  </si>
  <si>
    <t>M034</t>
  </si>
  <si>
    <t>4/23/2025</t>
  </si>
  <si>
    <t>M035</t>
  </si>
  <si>
    <t>4/24/2025</t>
  </si>
  <si>
    <t>M036</t>
  </si>
  <si>
    <t>4/25/2025</t>
  </si>
  <si>
    <t>M037</t>
  </si>
  <si>
    <t>4/26/2025</t>
  </si>
  <si>
    <t>M038</t>
  </si>
  <si>
    <t>4/27/2025</t>
  </si>
  <si>
    <t>M039</t>
  </si>
  <si>
    <t>4/28/2025</t>
  </si>
  <si>
    <t>M040</t>
  </si>
  <si>
    <t>4/29/2025</t>
  </si>
  <si>
    <t>M041</t>
  </si>
  <si>
    <t>4/30/2025</t>
  </si>
  <si>
    <t>M042</t>
  </si>
  <si>
    <t>5/1/2025</t>
  </si>
  <si>
    <t>M043</t>
  </si>
  <si>
    <t>5/2/2025</t>
  </si>
  <si>
    <t>M044</t>
  </si>
  <si>
    <t>5/3/2025</t>
  </si>
  <si>
    <t>M045</t>
  </si>
  <si>
    <t>5/4/2025</t>
  </si>
  <si>
    <t>M046</t>
  </si>
  <si>
    <t>5/5/2025</t>
  </si>
  <si>
    <t>M047</t>
  </si>
  <si>
    <t>5/6/2025</t>
  </si>
  <si>
    <t>M048</t>
  </si>
  <si>
    <t>5/7/2025</t>
  </si>
  <si>
    <t>M049</t>
  </si>
  <si>
    <t>5/8/2025</t>
  </si>
  <si>
    <t>M050</t>
  </si>
  <si>
    <t>5/9/2025</t>
  </si>
  <si>
    <t>M051</t>
  </si>
  <si>
    <t>5/10/2025</t>
  </si>
  <si>
    <t>M052</t>
  </si>
  <si>
    <t>5/11/2025</t>
  </si>
  <si>
    <t>M053</t>
  </si>
  <si>
    <t>5/12/2025</t>
  </si>
  <si>
    <t>M054</t>
  </si>
  <si>
    <t>5/13/2025</t>
  </si>
  <si>
    <t>M055</t>
  </si>
  <si>
    <t>5/14/2025</t>
  </si>
  <si>
    <t>M056</t>
  </si>
  <si>
    <t>5/15/2025</t>
  </si>
  <si>
    <t>M057</t>
  </si>
  <si>
    <t>5/16/2025</t>
  </si>
  <si>
    <t>M058</t>
  </si>
  <si>
    <t>5/17/2025</t>
  </si>
  <si>
    <t>M059</t>
  </si>
  <si>
    <t>5/18/2025</t>
  </si>
  <si>
    <t>M060</t>
  </si>
  <si>
    <t>5/19/2025</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</si>
  <si>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</si>
  <si>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</si>
  <si>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</si>
  <si>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</si>
  <si>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</si>
  <si>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</si>
  <si>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</si>
  <si>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</si>
  <si>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</si>
  <si>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</si>
  <si>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</si>
  <si>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</si>
  <si>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</si>
  <si>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</si>
  <si>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</si>
  <si>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</si>
  <si>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</si>
  <si>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</si>
  <si>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</si>
  <si>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</si>
  <si>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</si>
  <si>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</si>
  <si>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</si>
  <si>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</si>
  <si>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</si>
  <si>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</si>
  <si>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</si>
  <si>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</si>
  <si>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</si>
  <si>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</si>
  <si>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</si>
  <si>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</si>
  <si>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</si>
  <si>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</si>
  <si>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</si>
  <si>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</si>
  <si>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</si>
  <si>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</si>
  <si>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</si>
  <si>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</si>
  <si>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</si>
  <si>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</si>
  <si>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</si>
  <si>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</si>
  <si>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</si>
  <si>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</si>
  <si>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</si>
  <si>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</si>
  <si>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</si>
  <si>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</si>
  <si>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</si>
  <si>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</si>
  <si>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</si>
  <si>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</si>
  <si>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</si>
  <si>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</si>
  <si>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</si>
  <si>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</si>
  <si>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</si>
  <si>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</si>
  <si>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</si>
  <si>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</si>
  <si>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</si>
  <si>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</si>
  <si>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</si>
  <si>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</si>
  <si>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</si>
  <si>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</si>
  <si>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</si>
  <si>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</si>
  <si>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</si>
  <si>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</si>
  <si>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</si>
  <si>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</si>
  <si>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</si>
  <si>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</si>
  <si>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</si>
  <si>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</si>
  <si>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</si>
  <si>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</si>
  <si>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</si>
  <si>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</si>
  <si>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</si>
  <si>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</si>
  <si>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</si>
  <si>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</si>
  <si>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</si>
  <si>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</si>
  <si>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</si>
  <si>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(blank)</t>
  </si>
  <si>
    <t>Grand Total</t>
  </si>
  <si>
    <t>Count of Match_ID</t>
  </si>
  <si>
    <t>Total Runs</t>
  </si>
  <si>
    <t>Totalwickets</t>
  </si>
  <si>
    <t>TeamWins</t>
  </si>
  <si>
    <t xml:space="preserve">WIN BY  RUNS </t>
  </si>
  <si>
    <t>WIN BY WICKETS</t>
  </si>
  <si>
    <t xml:space="preserve">Total Runs </t>
  </si>
  <si>
    <t xml:space="preserve">Team Name </t>
  </si>
  <si>
    <t>Count of Team_ID</t>
  </si>
  <si>
    <t>fact_player[Match_ID]</t>
  </si>
  <si>
    <t>fact_player[Player_ID]</t>
  </si>
  <si>
    <t>fact_player[Runs]</t>
  </si>
  <si>
    <t>fact_player[Balls_Faced]</t>
  </si>
  <si>
    <t>fact_player[Fours]</t>
  </si>
  <si>
    <t>fact_player[Sixes]</t>
  </si>
  <si>
    <t>fact_player[Strike_Rate]</t>
  </si>
  <si>
    <t>fact_player[Overs_Bowled]</t>
  </si>
  <si>
    <t>fact_player[Runs_Conceded]</t>
  </si>
  <si>
    <t>fact_player[Wickets]</t>
  </si>
  <si>
    <t>fact_player[Economy]</t>
  </si>
  <si>
    <t>Player Average Strike Rate</t>
  </si>
  <si>
    <t>Row Labels</t>
  </si>
  <si>
    <t>Sum of Strike_Rate</t>
  </si>
  <si>
    <t>Sum of Economy</t>
  </si>
  <si>
    <t>Data returned for Sum of Economy (First 1000 rows).</t>
  </si>
  <si>
    <t>AVG STRIKE RATE</t>
  </si>
  <si>
    <t>PLAYER DASHBOARD</t>
  </si>
  <si>
    <t>ECONOMY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</si>
</sst>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48"/>
      <color theme="1"/>
      <name val="Calibri"/>
      <family val="2"/>
      <scheme val="minor"/>
    </font>
    <font>
      <b/>
      <sz val="11"/>
      <color theme="0"/>
      <name val="Calibri"/>
      <family val="2"/>
      <scheme val="minor"/>
    </font>
    <font>
      <b/>
      <sz val="24"/>
      <color theme="0"/>
      <name val="Calibri"/>
      <family val="2"/>
      <scheme val="minor"/>
    </font>
    <font>
      <b/>
      <sz val="24"/>
      <color theme="4" tint="0.79998168889431442"/>
      <name val="Calibri"/>
      <family val="2"/>
      <scheme val="minor"/>
    </font>
    <font>
      <b/>
      <sz val="20"/>
      <color theme="1"/>
      <name val="Calibri"/>
      <family val="2"/>
      <scheme val="minor"/>
    </font>
    <font>
      <b/>
      <sz val="18"/>
      <color theme="0"/>
      <name val="Calibri"/>
      <family val="2"/>
      <scheme val="minor"/>
    </font>
    <font>
      <b/>
      <sz val="24"/>
      <color theme="6" tint="0.79998168889431442"/>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3" tint="-0.499984740745262"/>
        <bgColor indexed="64"/>
      </patternFill>
    </fill>
    <fill>
      <patternFill patternType="solid">
        <fgColor theme="1" tint="4.9989318521683403E-2"/>
        <bgColor indexed="64"/>
      </patternFill>
    </fill>
    <fill>
      <patternFill patternType="solid">
        <fgColor theme="4" tint="-0.499984740745262"/>
        <bgColor indexed="64"/>
      </patternFill>
    </fill>
    <fill>
      <patternFill patternType="solid">
        <fgColor theme="2" tint="-0.249977111117893"/>
        <bgColor indexed="64"/>
      </patternFill>
    </fill>
  </fills>
  <borders count="13">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top style="thin">
        <color theme="4" tint="0.39997558519241921"/>
      </top>
      <bottom/>
      <diagonal/>
    </border>
    <border>
      <left/>
      <right/>
      <top/>
      <bottom style="medium">
        <color indexed="64"/>
      </bottom>
      <diagonal/>
    </border>
  </borders>
  <cellStyleXfs count="1">
    <xf numFmtId="0" fontId="0" fillId="0" borderId="0"/>
  </cellStyleXfs>
  <cellXfs count="40">
    <xf numFmtId="0" fontId="0" fillId="0" borderId="0" xfId="0"/>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1" fillId="2" borderId="10" xfId="0" applyFont="1" applyFill="1" applyBorder="1"/>
    <xf numFmtId="0" fontId="0" fillId="0" borderId="0" xfId="0" applyAlignment="1">
      <alignment horizontal="left" indent="1"/>
    </xf>
    <xf numFmtId="2" fontId="0" fillId="0" borderId="0" xfId="0" applyNumberFormat="1"/>
    <xf numFmtId="1" fontId="0" fillId="0" borderId="0" xfId="0" applyNumberFormat="1"/>
    <xf numFmtId="0" fontId="0" fillId="0" borderId="0" xfId="0" applyAlignment="1">
      <alignment horizontal="left" indent="2"/>
    </xf>
    <xf numFmtId="0" fontId="1" fillId="0" borderId="0" xfId="0" applyFont="1"/>
    <xf numFmtId="0" fontId="0" fillId="3" borderId="0" xfId="0" applyFill="1"/>
    <xf numFmtId="0" fontId="0" fillId="4" borderId="0" xfId="0" applyFill="1"/>
    <xf numFmtId="0" fontId="1" fillId="0" borderId="10" xfId="0" applyFont="1" applyBorder="1" applyAlignment="1">
      <alignment horizontal="left"/>
    </xf>
    <xf numFmtId="0" fontId="1" fillId="0" borderId="10" xfId="0" applyNumberFormat="1" applyFont="1" applyBorder="1"/>
    <xf numFmtId="0" fontId="1" fillId="2" borderId="11" xfId="0" applyFont="1" applyFill="1" applyBorder="1" applyAlignment="1">
      <alignment horizontal="left"/>
    </xf>
    <xf numFmtId="0" fontId="1" fillId="2" borderId="11" xfId="0" applyNumberFormat="1" applyFont="1" applyFill="1" applyBorder="1"/>
    <xf numFmtId="0" fontId="0" fillId="5" borderId="0" xfId="0" applyFill="1"/>
    <xf numFmtId="0" fontId="0" fillId="3" borderId="0" xfId="0" applyFill="1" applyAlignment="1">
      <alignment horizontal="center"/>
    </xf>
    <xf numFmtId="0" fontId="2" fillId="3" borderId="0" xfId="0" applyFont="1" applyFill="1" applyAlignment="1">
      <alignment horizontal="center" vertical="center"/>
    </xf>
    <xf numFmtId="0" fontId="0" fillId="5" borderId="12" xfId="0" applyFill="1" applyBorder="1"/>
    <xf numFmtId="0" fontId="0" fillId="0" borderId="12" xfId="0" applyBorder="1"/>
    <xf numFmtId="0" fontId="5" fillId="7" borderId="0" xfId="0" applyFont="1" applyFill="1" applyBorder="1" applyAlignment="1">
      <alignment horizontal="center" vertical="center"/>
    </xf>
    <xf numFmtId="0" fontId="5" fillId="7" borderId="12" xfId="0" applyFont="1" applyFill="1" applyBorder="1" applyAlignment="1">
      <alignment horizontal="center" vertical="center"/>
    </xf>
    <xf numFmtId="0" fontId="4" fillId="5" borderId="0" xfId="0" applyFont="1" applyFill="1" applyAlignment="1">
      <alignment horizontal="center" vertical="center"/>
    </xf>
    <xf numFmtId="0" fontId="0" fillId="5" borderId="0" xfId="0" applyFill="1" applyAlignment="1">
      <alignment horizontal="center" vertical="center"/>
    </xf>
    <xf numFmtId="0" fontId="0" fillId="5" borderId="12" xfId="0" applyFill="1" applyBorder="1" applyAlignment="1">
      <alignment horizontal="center" vertical="center"/>
    </xf>
    <xf numFmtId="0" fontId="6" fillId="7" borderId="0" xfId="0" applyFont="1" applyFill="1" applyAlignment="1">
      <alignment horizontal="center" vertical="center"/>
    </xf>
    <xf numFmtId="0" fontId="7" fillId="6" borderId="0" xfId="0" applyFont="1" applyFill="1" applyAlignment="1">
      <alignment horizontal="center"/>
    </xf>
    <xf numFmtId="0" fontId="3" fillId="6" borderId="0" xfId="0" applyFont="1" applyFill="1" applyAlignment="1">
      <alignment horizontal="center"/>
    </xf>
    <xf numFmtId="0" fontId="8" fillId="6" borderId="0" xfId="0" applyFont="1" applyFill="1" applyAlignment="1">
      <alignment horizontal="center"/>
    </xf>
    <xf numFmtId="0" fontId="8" fillId="6" borderId="12" xfId="0" applyFont="1" applyFill="1" applyBorder="1" applyAlignment="1">
      <alignment horizontal="center"/>
    </xf>
  </cellXfs>
  <cellStyles count="1">
    <cellStyle name="Normal" xfId="0" builtinId="0"/>
  </cellStyles>
  <dxfs count="50">
    <dxf>
      <numFmt numFmtId="2" formatCode="0.00"/>
    </dxf>
    <dxf>
      <numFmt numFmtId="2" formatCode="0.00"/>
    </dxf>
    <dxf>
      <numFmt numFmtId="1" formatCode="0"/>
    </dxf>
    <dxf>
      <numFmt numFmtId="2" formatCode="0.00"/>
    </dxf>
    <dxf>
      <numFmt numFmtId="2" formatCode="0.0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0.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3.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9.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[NEWDATA.xlsx]Team_summery!PivotTable3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a:t>
            </a:r>
            <a:r>
              <a:rPr lang="en-US" baseline="0"/>
              <a:t> vs  Wins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Team_summery!$B$20</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Team_summery!$A$21:$A$30</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Team_summery!$B$21:$B$30</c:f>
              <c:numCache>
                <c:formatCode>General</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0-EBAE-4F2D-95D0-4FB78030F293}"/>
            </c:ext>
          </c:extLst>
        </c:ser>
        <c:dLbls>
          <c:showLegendKey val="0"/>
          <c:showVal val="1"/>
          <c:showCatName val="0"/>
          <c:showSerName val="0"/>
          <c:showPercent val="0"/>
          <c:showBubbleSize val="0"/>
        </c:dLbls>
        <c:gapWidth val="65"/>
        <c:shape val="box"/>
        <c:axId val="626774864"/>
        <c:axId val="626774448"/>
        <c:axId val="0"/>
      </c:bar3DChart>
      <c:catAx>
        <c:axId val="626774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6774448"/>
        <c:crosses val="autoZero"/>
        <c:auto val="1"/>
        <c:lblAlgn val="ctr"/>
        <c:lblOffset val="100"/>
        <c:noMultiLvlLbl val="0"/>
      </c:catAx>
      <c:valAx>
        <c:axId val="6267744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6774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[NEWDATA.xlsx]Team_summery!PivotTable4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  VS Total  Runs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8746230530709047E-2"/>
          <c:y val="0.38836189669131044"/>
          <c:w val="0.7589157702829511"/>
          <c:h val="0.52996493380606557"/>
        </c:manualLayout>
      </c:layout>
      <c:bar3DChart>
        <c:barDir val="col"/>
        <c:grouping val="clustered"/>
        <c:varyColors val="0"/>
        <c:ser>
          <c:idx val="0"/>
          <c:order val="0"/>
          <c:tx>
            <c:strRef>
              <c:f>Team_summery!$M$4</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Team_summery!$L$5:$L$13</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Team_summery!$M$5:$M$13</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9-670D-4C1A-AC5F-2705367B9145}"/>
            </c:ext>
          </c:extLst>
        </c:ser>
        <c:dLbls>
          <c:showLegendKey val="0"/>
          <c:showVal val="1"/>
          <c:showCatName val="0"/>
          <c:showSerName val="0"/>
          <c:showPercent val="0"/>
          <c:showBubbleSize val="0"/>
        </c:dLbls>
        <c:gapWidth val="65"/>
        <c:shape val="box"/>
        <c:axId val="747177088"/>
        <c:axId val="747177920"/>
        <c:axId val="0"/>
      </c:bar3DChart>
      <c:catAx>
        <c:axId val="747177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7177920"/>
        <c:crosses val="autoZero"/>
        <c:auto val="1"/>
        <c:lblAlgn val="ctr"/>
        <c:lblOffset val="100"/>
        <c:noMultiLvlLbl val="0"/>
      </c:catAx>
      <c:valAx>
        <c:axId val="747177920"/>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71770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[NEWDATA.xlsx]Team_summery!PivotTable6</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 Type </a:t>
            </a:r>
          </a:p>
        </c:rich>
      </c:tx>
      <c:layout>
        <c:manualLayout>
          <c:xMode val="edge"/>
          <c:yMode val="edge"/>
          <c:x val="0.3797534381044953"/>
          <c:y val="9.65594097814893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3061804334164357"/>
          <c:y val="0.35755017959580881"/>
          <c:w val="0.4824841047146099"/>
          <c:h val="0.46333105321254364"/>
        </c:manualLayout>
      </c:layout>
      <c:pie3DChart>
        <c:varyColors val="1"/>
        <c:ser>
          <c:idx val="0"/>
          <c:order val="0"/>
          <c:tx>
            <c:strRef>
              <c:f>Team_summery!$U$4</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Team_summery!$T$5:$T$7</c:f>
              <c:strCache>
                <c:ptCount val="2"/>
                <c:pt idx="0">
                  <c:v>WIN BY  RUNS </c:v>
                </c:pt>
                <c:pt idx="1">
                  <c:v>WIN BY WICKETS</c:v>
                </c:pt>
              </c:strCache>
            </c:strRef>
          </c:cat>
          <c:val>
            <c:numRef>
              <c:f>Team_summery!$U$5:$U$7</c:f>
              <c:numCache>
                <c:formatCode>0</c:formatCode>
                <c:ptCount val="2"/>
                <c:pt idx="0">
                  <c:v>13297</c:v>
                </c:pt>
                <c:pt idx="1">
                  <c:v>7647</c:v>
                </c:pt>
              </c:numCache>
            </c:numRef>
          </c:val>
          <c:extLst>
            <c:ext xmlns:c16="http://schemas.microsoft.com/office/drawing/2014/chart" uri="{C3380CC4-5D6E-409C-BE32-E72D297353CC}">
              <c16:uniqueId val="{0000000D-B744-4554-A7AA-438BF47970C8}"/>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6323417605789667"/>
          <c:y val="0.7716184222916066"/>
          <c:w val="0.14987901105306556"/>
          <c:h val="0.221929567070250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[NEWDATA.xlsx]Team_summery!PivotTable7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Vanue</a:t>
            </a:r>
            <a:r>
              <a:rPr lang="en-US" baseline="0"/>
              <a:t> VS Matches </a:t>
            </a:r>
            <a:endParaRPr lang="en-US"/>
          </a:p>
        </c:rich>
      </c:tx>
      <c:layout>
        <c:manualLayout>
          <c:xMode val="edge"/>
          <c:yMode val="edge"/>
          <c:x val="0.30414121568885444"/>
          <c:y val="6.01775515856580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71222120755155294"/>
          <c:y val="0.28920874824142473"/>
          <c:w val="0.25420654422528893"/>
          <c:h val="0.62895115082441022"/>
        </c:manualLayout>
      </c:layout>
      <c:bar3DChart>
        <c:barDir val="bar"/>
        <c:grouping val="stacked"/>
        <c:varyColors val="0"/>
        <c:ser>
          <c:idx val="0"/>
          <c:order val="0"/>
          <c:tx>
            <c:strRef>
              <c:f>Team_summery!$AD$3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Team_summery!$AC$4:$AC$5</c:f>
              <c:strCache>
                <c:ptCount val="1"/>
                <c:pt idx="0">
                  <c:v>M. A. Chidambaram Stadium</c:v>
                </c:pt>
              </c:strCache>
            </c:strRef>
          </c:cat>
          <c:val>
            <c:numRef>
              <c:f>Team_summery!$AD$4:$AD$5</c:f>
              <c:numCache>
                <c:formatCode>General</c:formatCode>
                <c:ptCount val="1"/>
                <c:pt idx="0">
                  <c:v>8</c:v>
                </c:pt>
              </c:numCache>
            </c:numRef>
          </c:val>
          <c:extLst>
            <c:ext xmlns:c16="http://schemas.microsoft.com/office/drawing/2014/chart" uri="{C3380CC4-5D6E-409C-BE32-E72D297353CC}">
              <c16:uniqueId val="{00000008-1ADE-4714-9E2A-04802952868A}"/>
            </c:ext>
          </c:extLst>
        </c:ser>
        <c:dLbls>
          <c:showLegendKey val="0"/>
          <c:showVal val="0"/>
          <c:showCatName val="0"/>
          <c:showSerName val="0"/>
          <c:showPercent val="0"/>
          <c:showBubbleSize val="0"/>
        </c:dLbls>
        <c:gapWidth val="150"/>
        <c:shape val="box"/>
        <c:axId val="691150944"/>
        <c:axId val="691147616"/>
        <c:axId val="0"/>
      </c:bar3DChart>
      <c:catAx>
        <c:axId val="6911509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147616"/>
        <c:crosses val="autoZero"/>
        <c:auto val="1"/>
        <c:lblAlgn val="ctr"/>
        <c:lblOffset val="100"/>
        <c:noMultiLvlLbl val="0"/>
      </c:catAx>
      <c:valAx>
        <c:axId val="69114761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150944"/>
        <c:crosses val="autoZero"/>
        <c:crossBetween val="between"/>
      </c:valAx>
      <c:spPr>
        <a:noFill/>
        <a:ln>
          <a:noFill/>
        </a:ln>
        <a:effectLst/>
      </c:spPr>
    </c:plotArea>
    <c:legend>
      <c:legendPos val="r"/>
      <c:layout>
        <c:manualLayout>
          <c:xMode val="edge"/>
          <c:yMode val="edge"/>
          <c:x val="0.86979758044228361"/>
          <c:y val="6.3683274014754848E-2"/>
          <c:w val="0.11415420524250963"/>
          <c:h val="7.92625687008479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[NEWDATA.xlsx]Team_summery!PivotTable3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a:t>
            </a:r>
            <a:r>
              <a:rPr lang="en-US" baseline="0"/>
              <a:t> vs  Wins </a:t>
            </a:r>
          </a:p>
        </c:rich>
      </c:tx>
      <c:layout>
        <c:manualLayout>
          <c:xMode val="edge"/>
          <c:yMode val="edge"/>
          <c:x val="0.33928113007529481"/>
          <c:y val="6.446264188993339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4133294542435514"/>
          <c:y val="0.3130803195288191"/>
          <c:w val="0.45836105152873258"/>
          <c:h val="0.58282109193355613"/>
        </c:manualLayout>
      </c:layout>
      <c:bar3DChart>
        <c:barDir val="bar"/>
        <c:grouping val="clustered"/>
        <c:varyColors val="0"/>
        <c:ser>
          <c:idx val="0"/>
          <c:order val="0"/>
          <c:tx>
            <c:strRef>
              <c:f>Team_summery!$B$20</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Team_summery!$A$21:$A$30</c:f>
              <c:strCache>
                <c:ptCount val="9"/>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pt idx="8">
                  <c:v>(blank)</c:v>
                </c:pt>
              </c:strCache>
            </c:strRef>
          </c:cat>
          <c:val>
            <c:numRef>
              <c:f>Team_summery!$B$21:$B$30</c:f>
              <c:numCache>
                <c:formatCode>General</c:formatCode>
                <c:ptCount val="9"/>
                <c:pt idx="0">
                  <c:v>5</c:v>
                </c:pt>
                <c:pt idx="1">
                  <c:v>2</c:v>
                </c:pt>
                <c:pt idx="2">
                  <c:v>4</c:v>
                </c:pt>
                <c:pt idx="3">
                  <c:v>4</c:v>
                </c:pt>
                <c:pt idx="4">
                  <c:v>2</c:v>
                </c:pt>
                <c:pt idx="5">
                  <c:v>4</c:v>
                </c:pt>
                <c:pt idx="6">
                  <c:v>4</c:v>
                </c:pt>
                <c:pt idx="7">
                  <c:v>5</c:v>
                </c:pt>
                <c:pt idx="8">
                  <c:v>0</c:v>
                </c:pt>
              </c:numCache>
            </c:numRef>
          </c:val>
          <c:extLst>
            <c:ext xmlns:c16="http://schemas.microsoft.com/office/drawing/2014/chart" uri="{C3380CC4-5D6E-409C-BE32-E72D297353CC}">
              <c16:uniqueId val="{00000001-AA53-4C68-B3CC-E03E3A30A310}"/>
            </c:ext>
          </c:extLst>
        </c:ser>
        <c:dLbls>
          <c:showLegendKey val="0"/>
          <c:showVal val="1"/>
          <c:showCatName val="0"/>
          <c:showSerName val="0"/>
          <c:showPercent val="0"/>
          <c:showBubbleSize val="0"/>
        </c:dLbls>
        <c:gapWidth val="65"/>
        <c:shape val="box"/>
        <c:axId val="626774864"/>
        <c:axId val="626774448"/>
        <c:axId val="0"/>
      </c:bar3DChart>
      <c:catAx>
        <c:axId val="626774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26774448"/>
        <c:crosses val="autoZero"/>
        <c:auto val="1"/>
        <c:lblAlgn val="ctr"/>
        <c:lblOffset val="100"/>
        <c:noMultiLvlLbl val="0"/>
      </c:catAx>
      <c:valAx>
        <c:axId val="6267744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26774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[NEWDATA.xlsx]Team_summery!PivotTable4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Team  VS Total  Runs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688012333253526"/>
          <c:y val="0.26502099330314749"/>
          <c:w val="0.75380555948011052"/>
          <c:h val="0.30111953986286005"/>
        </c:manualLayout>
      </c:layout>
      <c:bar3DChart>
        <c:barDir val="col"/>
        <c:grouping val="clustered"/>
        <c:varyColors val="0"/>
        <c:ser>
          <c:idx val="0"/>
          <c:order val="0"/>
          <c:tx>
            <c:strRef>
              <c:f>Team_summery!$M$4</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Team_summery!$L$5:$L$13</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Team_summery!$M$5:$M$13</c:f>
              <c:numCache>
                <c:formatCode>0</c:formatCode>
                <c:ptCount val="8"/>
                <c:pt idx="0">
                  <c:v>2869</c:v>
                </c:pt>
                <c:pt idx="1">
                  <c:v>2420</c:v>
                </c:pt>
                <c:pt idx="2">
                  <c:v>2788</c:v>
                </c:pt>
                <c:pt idx="3">
                  <c:v>2735</c:v>
                </c:pt>
                <c:pt idx="4">
                  <c:v>2458</c:v>
                </c:pt>
                <c:pt idx="5">
                  <c:v>2318</c:v>
                </c:pt>
                <c:pt idx="6">
                  <c:v>2600</c:v>
                </c:pt>
                <c:pt idx="7">
                  <c:v>2756</c:v>
                </c:pt>
              </c:numCache>
            </c:numRef>
          </c:val>
          <c:extLst>
            <c:ext xmlns:c16="http://schemas.microsoft.com/office/drawing/2014/chart" uri="{C3380CC4-5D6E-409C-BE32-E72D297353CC}">
              <c16:uniqueId val="{00000009-5C2E-46DB-810D-8DFD20A11DB2}"/>
            </c:ext>
          </c:extLst>
        </c:ser>
        <c:dLbls>
          <c:showLegendKey val="0"/>
          <c:showVal val="1"/>
          <c:showCatName val="0"/>
          <c:showSerName val="0"/>
          <c:showPercent val="0"/>
          <c:showBubbleSize val="0"/>
        </c:dLbls>
        <c:gapWidth val="65"/>
        <c:shape val="box"/>
        <c:axId val="747177088"/>
        <c:axId val="747177920"/>
        <c:axId val="0"/>
      </c:bar3DChart>
      <c:catAx>
        <c:axId val="747177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7177920"/>
        <c:crosses val="autoZero"/>
        <c:auto val="1"/>
        <c:lblAlgn val="ctr"/>
        <c:lblOffset val="100"/>
        <c:noMultiLvlLbl val="0"/>
      </c:catAx>
      <c:valAx>
        <c:axId val="747177920"/>
        <c:scaling>
          <c:orientation val="minMax"/>
        </c:scaling>
        <c:delete val="0"/>
        <c:axPos val="l"/>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4717708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[NEWDATA.xlsx]Team_summery!PivotTable6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 Type </a:t>
            </a:r>
          </a:p>
        </c:rich>
      </c:tx>
      <c:layout>
        <c:manualLayout>
          <c:xMode val="edge"/>
          <c:yMode val="edge"/>
          <c:x val="0.3797534381044953"/>
          <c:y val="9.65594097814893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7559398962878218"/>
          <c:y val="0.28591455523849263"/>
          <c:w val="0.4824841047146099"/>
          <c:h val="0.46333105321254364"/>
        </c:manualLayout>
      </c:layout>
      <c:pie3DChart>
        <c:varyColors val="1"/>
        <c:ser>
          <c:idx val="0"/>
          <c:order val="0"/>
          <c:tx>
            <c:strRef>
              <c:f>Team_summery!$U$4</c:f>
              <c:strCache>
                <c:ptCount val="1"/>
                <c:pt idx="0">
                  <c:v>Total</c:v>
                </c:pt>
              </c:strCache>
            </c:strRef>
          </c:tx>
          <c:dPt>
            <c:idx val="0"/>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Team_summery!$T$5:$T$7</c:f>
              <c:strCache>
                <c:ptCount val="2"/>
                <c:pt idx="0">
                  <c:v>WIN BY  RUNS </c:v>
                </c:pt>
                <c:pt idx="1">
                  <c:v>WIN BY WICKETS</c:v>
                </c:pt>
              </c:strCache>
            </c:strRef>
          </c:cat>
          <c:val>
            <c:numRef>
              <c:f>Team_summery!$U$5:$U$7</c:f>
              <c:numCache>
                <c:formatCode>0</c:formatCode>
                <c:ptCount val="2"/>
                <c:pt idx="0">
                  <c:v>13297</c:v>
                </c:pt>
                <c:pt idx="1">
                  <c:v>7647</c:v>
                </c:pt>
              </c:numCache>
            </c:numRef>
          </c:val>
          <c:extLst>
            <c:ext xmlns:c16="http://schemas.microsoft.com/office/drawing/2014/chart" uri="{C3380CC4-5D6E-409C-BE32-E72D297353CC}">
              <c16:uniqueId val="{0000000D-6B28-43C4-9CD6-C036435B3F3D}"/>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6323417605789667"/>
          <c:y val="0.7716184222916066"/>
          <c:w val="0.12332246115708476"/>
          <c:h val="0.223108165540609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[NEWDATA.xlsx]Team_summery!PivotTable7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Vanue</a:t>
            </a:r>
            <a:r>
              <a:rPr lang="en-US" baseline="0"/>
              <a:t> VS Matches </a:t>
            </a:r>
            <a:endParaRPr lang="en-US"/>
          </a:p>
        </c:rich>
      </c:tx>
      <c:layout>
        <c:manualLayout>
          <c:xMode val="edge"/>
          <c:yMode val="edge"/>
          <c:x val="0.29703494662086977"/>
          <c:y val="6.017752945368699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540927104700115"/>
          <c:y val="0.31089497954900319"/>
          <c:w val="0.69832770431833713"/>
          <c:h val="0.5948278195424761"/>
        </c:manualLayout>
      </c:layout>
      <c:bar3DChart>
        <c:barDir val="bar"/>
        <c:grouping val="stacked"/>
        <c:varyColors val="0"/>
        <c:ser>
          <c:idx val="0"/>
          <c:order val="0"/>
          <c:tx>
            <c:strRef>
              <c:f>Team_summery!$AD$3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Team_summery!$AC$4:$AC$5</c:f>
              <c:strCache>
                <c:ptCount val="1"/>
                <c:pt idx="0">
                  <c:v>M. A. Chidambaram Stadium</c:v>
                </c:pt>
              </c:strCache>
            </c:strRef>
          </c:cat>
          <c:val>
            <c:numRef>
              <c:f>Team_summery!$AD$4:$AD$5</c:f>
              <c:numCache>
                <c:formatCode>General</c:formatCode>
                <c:ptCount val="1"/>
                <c:pt idx="0">
                  <c:v>8</c:v>
                </c:pt>
              </c:numCache>
            </c:numRef>
          </c:val>
          <c:extLst>
            <c:ext xmlns:c16="http://schemas.microsoft.com/office/drawing/2014/chart" uri="{C3380CC4-5D6E-409C-BE32-E72D297353CC}">
              <c16:uniqueId val="{00000008-2D3D-4EEF-8F61-03FF17A0B916}"/>
            </c:ext>
          </c:extLst>
        </c:ser>
        <c:dLbls>
          <c:showLegendKey val="0"/>
          <c:showVal val="0"/>
          <c:showCatName val="0"/>
          <c:showSerName val="0"/>
          <c:showPercent val="0"/>
          <c:showBubbleSize val="0"/>
        </c:dLbls>
        <c:gapWidth val="150"/>
        <c:shape val="box"/>
        <c:axId val="691150944"/>
        <c:axId val="691147616"/>
        <c:axId val="0"/>
      </c:bar3DChart>
      <c:catAx>
        <c:axId val="6911509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147616"/>
        <c:crosses val="autoZero"/>
        <c:auto val="1"/>
        <c:lblAlgn val="ctr"/>
        <c:lblOffset val="100"/>
        <c:noMultiLvlLbl val="0"/>
      </c:catAx>
      <c:valAx>
        <c:axId val="691147616"/>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91150944"/>
        <c:crosses val="autoZero"/>
        <c:crossBetween val="between"/>
      </c:valAx>
      <c:spPr>
        <a:noFill/>
        <a:ln>
          <a:noFill/>
        </a:ln>
        <a:effectLst/>
      </c:spPr>
    </c:plotArea>
    <c:legend>
      <c:legendPos val="r"/>
      <c:layout>
        <c:manualLayout>
          <c:xMode val="edge"/>
          <c:yMode val="edge"/>
          <c:x val="0.86979758044228361"/>
          <c:y val="6.3683274014754848E-2"/>
          <c:w val="4.4529157729392317E-2"/>
          <c:h val="8.65519132064178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playershit!$J$1</c:f>
              <c:strCache>
                <c:ptCount val="1"/>
                <c:pt idx="0">
                  <c:v>Runs_Conceded</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a:solidFill>
                  <a:schemeClr val="lt1">
                    <a:lumMod val="50000"/>
                  </a:schemeClr>
                </a:solidFill>
                <a:round/>
              </a:ln>
              <a:effectLst/>
            </c:spPr>
          </c:errBars>
          <c:cat>
            <c:strRef>
              <c:f>playershit!$I$2:$I$35</c:f>
              <c:strCache>
                <c:ptCount val="34"/>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pt idx="33">
                  <c:v>Grand Total</c:v>
                </c:pt>
              </c:strCache>
            </c:strRef>
          </c:cat>
          <c:val>
            <c:numRef>
              <c:f>playershit!$J$2:$J$35</c:f>
              <c:numCache>
                <c:formatCode>General</c:formatCode>
                <c:ptCount val="34"/>
                <c:pt idx="0">
                  <c:v>0</c:v>
                </c:pt>
                <c:pt idx="1">
                  <c:v>216</c:v>
                </c:pt>
                <c:pt idx="2">
                  <c:v>134</c:v>
                </c:pt>
                <c:pt idx="3">
                  <c:v>67</c:v>
                </c:pt>
                <c:pt idx="4">
                  <c:v>58</c:v>
                </c:pt>
                <c:pt idx="5">
                  <c:v>0</c:v>
                </c:pt>
                <c:pt idx="6">
                  <c:v>0</c:v>
                </c:pt>
                <c:pt idx="7">
                  <c:v>153</c:v>
                </c:pt>
                <c:pt idx="8">
                  <c:v>0</c:v>
                </c:pt>
                <c:pt idx="9">
                  <c:v>0</c:v>
                </c:pt>
                <c:pt idx="10">
                  <c:v>90</c:v>
                </c:pt>
                <c:pt idx="11">
                  <c:v>0</c:v>
                </c:pt>
                <c:pt idx="12">
                  <c:v>0</c:v>
                </c:pt>
                <c:pt idx="13">
                  <c:v>126</c:v>
                </c:pt>
                <c:pt idx="14">
                  <c:v>0</c:v>
                </c:pt>
                <c:pt idx="15">
                  <c:v>0</c:v>
                </c:pt>
                <c:pt idx="16">
                  <c:v>77</c:v>
                </c:pt>
                <c:pt idx="17">
                  <c:v>67</c:v>
                </c:pt>
                <c:pt idx="18">
                  <c:v>0</c:v>
                </c:pt>
                <c:pt idx="19">
                  <c:v>21</c:v>
                </c:pt>
                <c:pt idx="20">
                  <c:v>0</c:v>
                </c:pt>
                <c:pt idx="21">
                  <c:v>85</c:v>
                </c:pt>
                <c:pt idx="22">
                  <c:v>0</c:v>
                </c:pt>
                <c:pt idx="23">
                  <c:v>0</c:v>
                </c:pt>
                <c:pt idx="24">
                  <c:v>147</c:v>
                </c:pt>
                <c:pt idx="25">
                  <c:v>0</c:v>
                </c:pt>
                <c:pt idx="26">
                  <c:v>0</c:v>
                </c:pt>
                <c:pt idx="27">
                  <c:v>0</c:v>
                </c:pt>
                <c:pt idx="28">
                  <c:v>80</c:v>
                </c:pt>
                <c:pt idx="29">
                  <c:v>113</c:v>
                </c:pt>
                <c:pt idx="30">
                  <c:v>0</c:v>
                </c:pt>
                <c:pt idx="31">
                  <c:v>0</c:v>
                </c:pt>
                <c:pt idx="32">
                  <c:v>50</c:v>
                </c:pt>
                <c:pt idx="33">
                  <c:v>1484</c:v>
                </c:pt>
              </c:numCache>
            </c:numRef>
          </c:val>
          <c:smooth val="0"/>
          <c:extLst>
            <c:ext xmlns:c16="http://schemas.microsoft.com/office/drawing/2014/chart" uri="{C3380CC4-5D6E-409C-BE32-E72D297353CC}">
              <c16:uniqueId val="{00000000-9AC6-4F55-AC6C-829958AF7D9B}"/>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smooth val="0"/>
        <c:axId val="1333138752"/>
        <c:axId val="1333129600"/>
      </c:lineChart>
      <c:catAx>
        <c:axId val="1333138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129600"/>
        <c:crosses val="autoZero"/>
        <c:auto val="1"/>
        <c:lblAlgn val="ctr"/>
        <c:lblOffset val="100"/>
        <c:noMultiLvlLbl val="0"/>
      </c:catAx>
      <c:valAx>
        <c:axId val="13331296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13875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[NEWDATA.xlsx]playershit!PivotTable4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Player VS Total Wickets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playershit!$B$37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25400">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playershit!$A$38:$A$56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playershit!$B$38:$B$56</c:f>
              <c:numCache>
                <c:formatCode>General</c:formatCode>
                <c:ptCount val="6"/>
                <c:pt idx="0">
                  <c:v>3</c:v>
                </c:pt>
                <c:pt idx="1">
                  <c:v>0</c:v>
                </c:pt>
                <c:pt idx="2">
                  <c:v>2</c:v>
                </c:pt>
                <c:pt idx="3">
                  <c:v>2</c:v>
                </c:pt>
                <c:pt idx="4">
                  <c:v>4</c:v>
                </c:pt>
                <c:pt idx="5">
                  <c:v>3</c:v>
                </c:pt>
              </c:numCache>
            </c:numRef>
          </c:val>
          <c:smooth val="0"/>
          <c:extLst>
            <c:ext xmlns:c16="http://schemas.microsoft.com/office/drawing/2014/chart" uri="{C3380CC4-5D6E-409C-BE32-E72D297353CC}">
              <c16:uniqueId val="{00000003-CA99-4311-80B3-09B7C674EFD6}"/>
            </c:ext>
          </c:extLst>
        </c:ser>
        <c:dLbls>
          <c:showLegendKey val="0"/>
          <c:showVal val="1"/>
          <c:showCatName val="0"/>
          <c:showSerName val="0"/>
          <c:showPercent val="0"/>
          <c:showBubbleSize val="0"/>
        </c:dLbls>
        <c:axId val="1627370208"/>
        <c:axId val="1627373952"/>
        <c:axId val="1825831232"/>
      </c:line3DChart>
      <c:catAx>
        <c:axId val="162737020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3952"/>
        <c:crosses val="autoZero"/>
        <c:auto val="1"/>
        <c:lblAlgn val="ctr"/>
        <c:lblOffset val="100"/>
        <c:noMultiLvlLbl val="0"/>
      </c:catAx>
      <c:valAx>
        <c:axId val="16273739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0208"/>
        <c:crosses val="autoZero"/>
        <c:crossBetween val="between"/>
      </c:valAx>
      <c:serAx>
        <c:axId val="182583123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39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[NEWDATA.xlsx]playershit!PivotTable5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playershit!$J$37</c:f>
              <c:strCache>
                <c:ptCount val="1"/>
                <c:pt idx="0">
                  <c:v>Sum of Strike_Rate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playershit!$I$38:$I$56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playershit!$J$38:$J$56</c:f>
              <c:numCache>
                <c:formatCode>General</c:formatCode>
                <c:ptCount val="6"/>
                <c:pt idx="0">
                  <c:v>0</c:v>
                </c:pt>
                <c:pt idx="1">
                  <c:v>335.38</c:v>
                </c:pt>
                <c:pt idx="2">
                  <c:v>0</c:v>
                </c:pt>
                <c:pt idx="3">
                  <c:v>180</c:v>
                </c:pt>
                <c:pt idx="4">
                  <c:v>0</c:v>
                </c:pt>
                <c:pt idx="5">
                  <c:v>0</c:v>
                </c:pt>
              </c:numCache>
            </c:numRef>
          </c:val>
          <c:extLst>
            <c:ext xmlns:c16="http://schemas.microsoft.com/office/drawing/2014/chart" uri="{C3380CC4-5D6E-409C-BE32-E72D297353CC}">
              <c16:uniqueId val="{00000006-32BB-4329-99D9-EA0CE48B0BA2}"/>
            </c:ext>
          </c:extLst>
        </c:ser>
        <c:ser>
          <c:idx val="1"/>
          <c:order val="1"/>
          <c:tx>
            <c:strRef>
              <c:f>playershit!$K$37</c:f>
              <c:strCache>
                <c:ptCount val="1"/>
                <c:pt idx="0">
                  <c:v>Player Average Strike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playershit!$I$38:$I$56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playershit!$K$38:$K$56</c:f>
              <c:numCache>
                <c:formatCode>0.00</c:formatCode>
                <c:ptCount val="6"/>
                <c:pt idx="0">
                  <c:v>0</c:v>
                </c:pt>
                <c:pt idx="1">
                  <c:v>167.69</c:v>
                </c:pt>
                <c:pt idx="2">
                  <c:v>0</c:v>
                </c:pt>
                <c:pt idx="3">
                  <c:v>180</c:v>
                </c:pt>
                <c:pt idx="4">
                  <c:v>0</c:v>
                </c:pt>
                <c:pt idx="5">
                  <c:v>0</c:v>
                </c:pt>
              </c:numCache>
            </c:numRef>
          </c:val>
          <c:extLst>
            <c:ext xmlns:c16="http://schemas.microsoft.com/office/drawing/2014/chart" uri="{C3380CC4-5D6E-409C-BE32-E72D297353CC}">
              <c16:uniqueId val="{00000007-32BB-4329-99D9-EA0CE48B0BA2}"/>
            </c:ext>
          </c:extLst>
        </c:ser>
        <c:dLbls>
          <c:showLegendKey val="0"/>
          <c:showVal val="0"/>
          <c:showCatName val="0"/>
          <c:showSerName val="0"/>
          <c:showPercent val="0"/>
          <c:showBubbleSize val="0"/>
        </c:dLbls>
        <c:gapWidth val="219"/>
        <c:overlap val="-27"/>
        <c:axId val="1820666304"/>
        <c:axId val="1820661728"/>
      </c:barChart>
      <c:catAx>
        <c:axId val="1820666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61728"/>
        <c:crosses val="autoZero"/>
        <c:auto val="1"/>
        <c:lblAlgn val="ctr"/>
        <c:lblOffset val="100"/>
        <c:noMultiLvlLbl val="0"/>
      </c:catAx>
      <c:valAx>
        <c:axId val="1820661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[NEWDATA.xlsx]playershit!PivotTable6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playershit!$T$1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playershit!$S$2:$S$8</c:f>
              <c:strCache>
                <c:ptCount val="6"/>
                <c:pt idx="0">
                  <c:v>Arshdeep Singh</c:v>
                </c:pt>
                <c:pt idx="1">
                  <c:v>Jos Buttler</c:v>
                </c:pt>
                <c:pt idx="2">
                  <c:v>Kuldeep Yadav</c:v>
                </c:pt>
                <c:pt idx="3">
                  <c:v>Sunil Narine</c:v>
                </c:pt>
                <c:pt idx="4">
                  <c:v>Trent Boult</c:v>
                </c:pt>
                <c:pt idx="5">
                  <c:v>Yuzvendra Chahal</c:v>
                </c:pt>
              </c:strCache>
            </c:strRef>
          </c:cat>
          <c:val>
            <c:numRef>
              <c:f>playershit!$T$2:$T$8</c:f>
              <c:numCache>
                <c:formatCode>General</c:formatCode>
                <c:ptCount val="6"/>
                <c:pt idx="0">
                  <c:v>5.5</c:v>
                </c:pt>
                <c:pt idx="1">
                  <c:v>0</c:v>
                </c:pt>
                <c:pt idx="2">
                  <c:v>4.25</c:v>
                </c:pt>
                <c:pt idx="3">
                  <c:v>5.5</c:v>
                </c:pt>
                <c:pt idx="4">
                  <c:v>5.14</c:v>
                </c:pt>
                <c:pt idx="5">
                  <c:v>5</c:v>
                </c:pt>
              </c:numCache>
            </c:numRef>
          </c:val>
          <c:extLst>
            <c:ext xmlns:c16="http://schemas.microsoft.com/office/drawing/2014/chart" uri="{C3380CC4-5D6E-409C-BE32-E72D297353CC}">
              <c16:uniqueId val="{00000003-84D9-4E51-8F2D-5AD10B5B40E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playershit!$J$1</c:f>
              <c:strCache>
                <c:ptCount val="1"/>
                <c:pt idx="0">
                  <c:v>Runs_Conceded</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errBars>
            <c:errDir val="y"/>
            <c:errBarType val="both"/>
            <c:errValType val="stdErr"/>
            <c:noEndCap val="0"/>
            <c:spPr>
              <a:noFill/>
              <a:ln w="9525">
                <a:solidFill>
                  <a:schemeClr val="lt1">
                    <a:lumMod val="50000"/>
                  </a:schemeClr>
                </a:solidFill>
                <a:round/>
              </a:ln>
              <a:effectLst/>
            </c:spPr>
          </c:errBars>
          <c:cat>
            <c:strRef>
              <c:f>playershit!$I$2:$I$35</c:f>
              <c:strCache>
                <c:ptCount val="34"/>
                <c:pt idx="0">
                  <c:v>Abhishek Sharma</c:v>
                </c:pt>
                <c:pt idx="1">
                  <c:v>Andre Russell</c:v>
                </c:pt>
                <c:pt idx="2">
                  <c:v>Arshdeep Singh</c:v>
                </c:pt>
                <c:pt idx="3">
                  <c:v>Axar Patel</c:v>
                </c:pt>
                <c:pt idx="4">
                  <c:v>Bhuvneshwar Kumar</c:v>
                </c:pt>
                <c:pt idx="5">
                  <c:v>Daryl Mitchell</c:v>
                </c:pt>
                <c:pt idx="6">
                  <c:v>David Warner</c:v>
                </c:pt>
                <c:pt idx="7">
                  <c:v>Deepak Chahar</c:v>
                </c:pt>
                <c:pt idx="8">
                  <c:v>Dinesh Karthik</c:v>
                </c:pt>
                <c:pt idx="9">
                  <c:v>Glenn Maxwell</c:v>
                </c:pt>
                <c:pt idx="10">
                  <c:v>Hardik Pandya</c:v>
                </c:pt>
                <c:pt idx="11">
                  <c:v>Heinrich Klaasen</c:v>
                </c:pt>
                <c:pt idx="12">
                  <c:v>Ishan Kishan</c:v>
                </c:pt>
                <c:pt idx="13">
                  <c:v>Jasprit Bumrah</c:v>
                </c:pt>
                <c:pt idx="14">
                  <c:v>Jitesh Sharma</c:v>
                </c:pt>
                <c:pt idx="15">
                  <c:v>Jos Buttler</c:v>
                </c:pt>
                <c:pt idx="16">
                  <c:v>Kagiso Rabada</c:v>
                </c:pt>
                <c:pt idx="17">
                  <c:v>Kuldeep Yadav</c:v>
                </c:pt>
                <c:pt idx="18">
                  <c:v>Liam Livingstone</c:v>
                </c:pt>
                <c:pt idx="19">
                  <c:v>Matheesha Pathirana</c:v>
                </c:pt>
                <c:pt idx="20">
                  <c:v>Mitchell Marsh</c:v>
                </c:pt>
                <c:pt idx="21">
                  <c:v>Mohammed Siraj</c:v>
                </c:pt>
                <c:pt idx="22">
                  <c:v>Rinku Singh</c:v>
                </c:pt>
                <c:pt idx="23">
                  <c:v>Shivam Dube</c:v>
                </c:pt>
                <c:pt idx="24">
                  <c:v>Sunil Narine</c:v>
                </c:pt>
                <c:pt idx="25">
                  <c:v>Suryakumar Yadav</c:v>
                </c:pt>
                <c:pt idx="26">
                  <c:v>Tilak Varma</c:v>
                </c:pt>
                <c:pt idx="27">
                  <c:v>Travis Head</c:v>
                </c:pt>
                <c:pt idx="28">
                  <c:v>Trent Boult</c:v>
                </c:pt>
                <c:pt idx="29">
                  <c:v>Varun Chakravarthy</c:v>
                </c:pt>
                <c:pt idx="30">
                  <c:v>Virat Kohli</c:v>
                </c:pt>
                <c:pt idx="31">
                  <c:v>Yashasvi Jaiswal</c:v>
                </c:pt>
                <c:pt idx="32">
                  <c:v>Yuzvendra Chahal</c:v>
                </c:pt>
                <c:pt idx="33">
                  <c:v>Grand Total</c:v>
                </c:pt>
              </c:strCache>
            </c:strRef>
          </c:cat>
          <c:val>
            <c:numRef>
              <c:f>playershit!$J$2:$J$35</c:f>
              <c:numCache>
                <c:formatCode>General</c:formatCode>
                <c:ptCount val="34"/>
                <c:pt idx="0">
                  <c:v>0</c:v>
                </c:pt>
                <c:pt idx="1">
                  <c:v>216</c:v>
                </c:pt>
                <c:pt idx="2">
                  <c:v>134</c:v>
                </c:pt>
                <c:pt idx="3">
                  <c:v>67</c:v>
                </c:pt>
                <c:pt idx="4">
                  <c:v>58</c:v>
                </c:pt>
                <c:pt idx="5">
                  <c:v>0</c:v>
                </c:pt>
                <c:pt idx="6">
                  <c:v>0</c:v>
                </c:pt>
                <c:pt idx="7">
                  <c:v>153</c:v>
                </c:pt>
                <c:pt idx="8">
                  <c:v>0</c:v>
                </c:pt>
                <c:pt idx="9">
                  <c:v>0</c:v>
                </c:pt>
                <c:pt idx="10">
                  <c:v>90</c:v>
                </c:pt>
                <c:pt idx="11">
                  <c:v>0</c:v>
                </c:pt>
                <c:pt idx="12">
                  <c:v>0</c:v>
                </c:pt>
                <c:pt idx="13">
                  <c:v>126</c:v>
                </c:pt>
                <c:pt idx="14">
                  <c:v>0</c:v>
                </c:pt>
                <c:pt idx="15">
                  <c:v>0</c:v>
                </c:pt>
                <c:pt idx="16">
                  <c:v>77</c:v>
                </c:pt>
                <c:pt idx="17">
                  <c:v>67</c:v>
                </c:pt>
                <c:pt idx="18">
                  <c:v>0</c:v>
                </c:pt>
                <c:pt idx="19">
                  <c:v>21</c:v>
                </c:pt>
                <c:pt idx="20">
                  <c:v>0</c:v>
                </c:pt>
                <c:pt idx="21">
                  <c:v>85</c:v>
                </c:pt>
                <c:pt idx="22">
                  <c:v>0</c:v>
                </c:pt>
                <c:pt idx="23">
                  <c:v>0</c:v>
                </c:pt>
                <c:pt idx="24">
                  <c:v>147</c:v>
                </c:pt>
                <c:pt idx="25">
                  <c:v>0</c:v>
                </c:pt>
                <c:pt idx="26">
                  <c:v>0</c:v>
                </c:pt>
                <c:pt idx="27">
                  <c:v>0</c:v>
                </c:pt>
                <c:pt idx="28">
                  <c:v>80</c:v>
                </c:pt>
                <c:pt idx="29">
                  <c:v>113</c:v>
                </c:pt>
                <c:pt idx="30">
                  <c:v>0</c:v>
                </c:pt>
                <c:pt idx="31">
                  <c:v>0</c:v>
                </c:pt>
                <c:pt idx="32">
                  <c:v>50</c:v>
                </c:pt>
                <c:pt idx="33">
                  <c:v>1484</c:v>
                </c:pt>
              </c:numCache>
            </c:numRef>
          </c:val>
          <c:smooth val="0"/>
          <c:extLst>
            <c:ext xmlns:c16="http://schemas.microsoft.com/office/drawing/2014/chart" uri="{C3380CC4-5D6E-409C-BE32-E72D297353CC}">
              <c16:uniqueId val="{00000000-183F-4DDF-A68B-52333E2DF72B}"/>
            </c:ext>
          </c:extLst>
        </c:ser>
        <c:dLbls>
          <c:dLblPos val="t"/>
          <c:showLegendKey val="0"/>
          <c:showVal val="1"/>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smooth val="0"/>
        <c:axId val="1333138752"/>
        <c:axId val="1333129600"/>
      </c:lineChart>
      <c:catAx>
        <c:axId val="13331387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129600"/>
        <c:crosses val="autoZero"/>
        <c:auto val="1"/>
        <c:lblAlgn val="ctr"/>
        <c:lblOffset val="100"/>
        <c:noMultiLvlLbl val="0"/>
      </c:catAx>
      <c:valAx>
        <c:axId val="13331296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313875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[NEWDATA.xlsx]playershit!PivotTable4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Player VS Total Wickets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playershit!$B$37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playershit!$A$38:$A$56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playershit!$B$38:$B$56</c:f>
              <c:numCache>
                <c:formatCode>General</c:formatCode>
                <c:ptCount val="6"/>
                <c:pt idx="0">
                  <c:v>3</c:v>
                </c:pt>
                <c:pt idx="1">
                  <c:v>0</c:v>
                </c:pt>
                <c:pt idx="2">
                  <c:v>2</c:v>
                </c:pt>
                <c:pt idx="3">
                  <c:v>2</c:v>
                </c:pt>
                <c:pt idx="4">
                  <c:v>4</c:v>
                </c:pt>
                <c:pt idx="5">
                  <c:v>3</c:v>
                </c:pt>
              </c:numCache>
            </c:numRef>
          </c:val>
          <c:smooth val="0"/>
          <c:extLst>
            <c:ext xmlns:c16="http://schemas.microsoft.com/office/drawing/2014/chart" uri="{C3380CC4-5D6E-409C-BE32-E72D297353CC}">
              <c16:uniqueId val="{00000000-F3D2-48DA-81FF-C2F5861F6434}"/>
            </c:ext>
          </c:extLst>
        </c:ser>
        <c:dLbls>
          <c:showLegendKey val="0"/>
          <c:showVal val="1"/>
          <c:showCatName val="0"/>
          <c:showSerName val="0"/>
          <c:showPercent val="0"/>
          <c:showBubbleSize val="0"/>
        </c:dLbls>
        <c:axId val="1627370208"/>
        <c:axId val="1627373952"/>
        <c:axId val="1825831232"/>
      </c:line3DChart>
      <c:catAx>
        <c:axId val="162737020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3952"/>
        <c:crosses val="autoZero"/>
        <c:auto val="1"/>
        <c:lblAlgn val="ctr"/>
        <c:lblOffset val="100"/>
        <c:noMultiLvlLbl val="0"/>
      </c:catAx>
      <c:valAx>
        <c:axId val="16273739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0208"/>
        <c:crosses val="autoZero"/>
        <c:crossBetween val="between"/>
      </c:valAx>
      <c:serAx>
        <c:axId val="182583123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73739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[NEWDATA.xlsx]playershit!PivotTable5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playershit!$J$37</c:f>
              <c:strCache>
                <c:ptCount val="1"/>
                <c:pt idx="0">
                  <c:v>Sum of Strike_Rate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linear"/>
            <c:dispRSqr val="0"/>
            <c:dispEq val="0"/>
          </c:trendline>
          <c:errBars>
            <c:errBarType val="both"/>
            <c:errValType val="stdErr"/>
            <c:noEndCap val="0"/>
            <c:spPr>
              <a:noFill/>
              <a:ln w="9525" cap="flat" cmpd="sng" algn="ctr">
                <a:solidFill>
                  <a:schemeClr val="lt1">
                    <a:lumMod val="95000"/>
                  </a:schemeClr>
                </a:solidFill>
                <a:round/>
              </a:ln>
              <a:effectLst/>
            </c:spPr>
          </c:errBars>
          <c:cat>
            <c:multiLvlStrRef>
              <c:f>playershit!$I$38:$I$56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playershit!$J$38:$J$56</c:f>
              <c:numCache>
                <c:formatCode>General</c:formatCode>
                <c:ptCount val="6"/>
                <c:pt idx="0">
                  <c:v>0</c:v>
                </c:pt>
                <c:pt idx="1">
                  <c:v>335.38</c:v>
                </c:pt>
                <c:pt idx="2">
                  <c:v>0</c:v>
                </c:pt>
                <c:pt idx="3">
                  <c:v>180</c:v>
                </c:pt>
                <c:pt idx="4">
                  <c:v>0</c:v>
                </c:pt>
                <c:pt idx="5">
                  <c:v>0</c:v>
                </c:pt>
              </c:numCache>
            </c:numRef>
          </c:val>
          <c:extLst>
            <c:ext xmlns:c16="http://schemas.microsoft.com/office/drawing/2014/chart" uri="{C3380CC4-5D6E-409C-BE32-E72D297353CC}">
              <c16:uniqueId val="{00000001-12BE-4FD8-810C-736CA4950357}"/>
            </c:ext>
          </c:extLst>
        </c:ser>
        <c:dLbls>
          <c:showLegendKey val="0"/>
          <c:showVal val="0"/>
          <c:showCatName val="0"/>
          <c:showSerName val="0"/>
          <c:showPercent val="0"/>
          <c:showBubbleSize val="0"/>
        </c:dLbls>
        <c:gapWidth val="219"/>
        <c:overlap val="-27"/>
        <c:axId val="1820666304"/>
        <c:axId val="1820661728"/>
      </c:barChart>
      <c:lineChart>
        <c:grouping val="standard"/>
        <c:varyColors val="0"/>
        <c:ser>
          <c:idx val="1"/>
          <c:order val="1"/>
          <c:tx>
            <c:strRef>
              <c:f>playershit!$K$37</c:f>
              <c:strCache>
                <c:ptCount val="1"/>
                <c:pt idx="0">
                  <c:v>Player Average Strike Rate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errBars>
            <c:errDir val="y"/>
            <c:errBarType val="both"/>
            <c:errValType val="stdErr"/>
            <c:noEndCap val="0"/>
            <c:spPr>
              <a:noFill/>
              <a:ln w="9525" cap="flat" cmpd="sng" algn="ctr">
                <a:solidFill>
                  <a:schemeClr val="lt1">
                    <a:lumMod val="95000"/>
                  </a:schemeClr>
                </a:solidFill>
                <a:round/>
              </a:ln>
              <a:effectLst/>
            </c:spPr>
          </c:errBars>
          <c:cat>
            <c:multiLvlStrRef>
              <c:f>playershit!$I$38:$I$56</c:f>
              <c:multiLvlStrCache>
                <c:ptCount val="6"/>
                <c:lvl>
                  <c:pt idx="0">
                    <c:v>Bowler</c:v>
                  </c:pt>
                  <c:pt idx="1">
                    <c:v>Wicketkeeper</c:v>
                  </c:pt>
                  <c:pt idx="2">
                    <c:v>Bowler</c:v>
                  </c:pt>
                  <c:pt idx="3">
                    <c:v>All-Rounder</c:v>
                  </c:pt>
                  <c:pt idx="4">
                    <c:v>Bowler</c:v>
                  </c:pt>
                  <c:pt idx="5">
                    <c:v>Bowler</c:v>
                  </c:pt>
                </c:lvl>
                <c:lvl>
                  <c:pt idx="0">
                    <c:v>Rajasthan Royals (RR)</c:v>
                  </c:pt>
                  <c:pt idx="1">
                    <c:v>Rajasthan Royals (RR)</c:v>
                  </c:pt>
                  <c:pt idx="2">
                    <c:v>Rajasthan Royals (RR)</c:v>
                  </c:pt>
                  <c:pt idx="3">
                    <c:v>Rajasthan Royals (RR)</c:v>
                  </c:pt>
                  <c:pt idx="4">
                    <c:v>Rajasthan Royals (RR)</c:v>
                  </c:pt>
                  <c:pt idx="5">
                    <c:v>Rajasthan Royals (RR)</c:v>
                  </c:pt>
                </c:lvl>
                <c:lvl>
                  <c:pt idx="0">
                    <c:v>Arshdeep Singh</c:v>
                  </c:pt>
                  <c:pt idx="1">
                    <c:v>Jos Buttler</c:v>
                  </c:pt>
                  <c:pt idx="2">
                    <c:v>Kuldeep Yadav</c:v>
                  </c:pt>
                  <c:pt idx="3">
                    <c:v>Sunil Narine</c:v>
                  </c:pt>
                  <c:pt idx="4">
                    <c:v>Trent Boult</c:v>
                  </c:pt>
                  <c:pt idx="5">
                    <c:v>Yuzvendra Chahal</c:v>
                  </c:pt>
                </c:lvl>
              </c:multiLvlStrCache>
            </c:multiLvlStrRef>
          </c:cat>
          <c:val>
            <c:numRef>
              <c:f>playershit!$K$38:$K$56</c:f>
              <c:numCache>
                <c:formatCode>0.00</c:formatCode>
                <c:ptCount val="6"/>
                <c:pt idx="0">
                  <c:v>0</c:v>
                </c:pt>
                <c:pt idx="1">
                  <c:v>167.69</c:v>
                </c:pt>
                <c:pt idx="2">
                  <c:v>0</c:v>
                </c:pt>
                <c:pt idx="3">
                  <c:v>180</c:v>
                </c:pt>
                <c:pt idx="4">
                  <c:v>0</c:v>
                </c:pt>
                <c:pt idx="5">
                  <c:v>0</c:v>
                </c:pt>
              </c:numCache>
            </c:numRef>
          </c:val>
          <c:smooth val="0"/>
          <c:extLst>
            <c:ext xmlns:c16="http://schemas.microsoft.com/office/drawing/2014/chart" uri="{C3380CC4-5D6E-409C-BE32-E72D297353CC}">
              <c16:uniqueId val="{00000002-12BE-4FD8-810C-736CA4950357}"/>
            </c:ext>
          </c:extLst>
        </c:ser>
        <c:dLbls>
          <c:showLegendKey val="0"/>
          <c:showVal val="0"/>
          <c:showCatName val="0"/>
          <c:showSerName val="0"/>
          <c:showPercent val="0"/>
          <c:showBubbleSize val="0"/>
        </c:dLbls>
        <c:marker val="1"/>
        <c:smooth val="0"/>
        <c:axId val="1820666304"/>
        <c:axId val="1820661728"/>
      </c:lineChart>
      <c:catAx>
        <c:axId val="1820666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61728"/>
        <c:crosses val="autoZero"/>
        <c:auto val="1"/>
        <c:lblAlgn val="ctr"/>
        <c:lblOffset val="100"/>
        <c:noMultiLvlLbl val="0"/>
      </c:catAx>
      <c:valAx>
        <c:axId val="18206617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066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[NEWDATA.xlsx]playershit!PivotTable6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playershit!$T$1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C6-47FC-B4D1-5E85A1EF87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C6-47FC-B4D1-5E85A1EF87E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C6-47FC-B4D1-5E85A1EF87E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CC6-47FC-B4D1-5E85A1EF87E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CC6-47FC-B4D1-5E85A1EF87E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CC6-47FC-B4D1-5E85A1EF87E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CC6-47FC-B4D1-5E85A1EF87E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CC6-47FC-B4D1-5E85A1EF87E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CC6-47FC-B4D1-5E85A1EF87E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CC6-47FC-B4D1-5E85A1EF87E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2CC6-47FC-B4D1-5E85A1EF87E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CC6-47FC-B4D1-5E85A1EF87E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CC6-47FC-B4D1-5E85A1EF87E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CC6-47FC-B4D1-5E85A1EF87E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CC6-47FC-B4D1-5E85A1EF87E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CC6-47FC-B4D1-5E85A1EF87E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2CC6-47FC-B4D1-5E85A1EF87E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2CC6-47FC-B4D1-5E85A1EF87E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2CC6-47FC-B4D1-5E85A1EF87E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2CC6-47FC-B4D1-5E85A1EF87E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2CC6-47FC-B4D1-5E85A1EF87E3}"/>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2CC6-47FC-B4D1-5E85A1EF87E3}"/>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2CC6-47FC-B4D1-5E85A1EF87E3}"/>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2CC6-47FC-B4D1-5E85A1EF87E3}"/>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2CC6-47FC-B4D1-5E85A1EF87E3}"/>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2CC6-47FC-B4D1-5E85A1EF87E3}"/>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2CC6-47FC-B4D1-5E85A1EF87E3}"/>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2CC6-47FC-B4D1-5E85A1EF87E3}"/>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2CC6-47FC-B4D1-5E85A1EF87E3}"/>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2CC6-47FC-B4D1-5E85A1EF87E3}"/>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2CC6-47FC-B4D1-5E85A1EF87E3}"/>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2CC6-47FC-B4D1-5E85A1EF87E3}"/>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2CC6-47FC-B4D1-5E85A1EF87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playershit!$S$2:$S$8</c:f>
              <c:strCache>
                <c:ptCount val="6"/>
                <c:pt idx="0">
                  <c:v>Arshdeep Singh</c:v>
                </c:pt>
                <c:pt idx="1">
                  <c:v>Jos Buttler</c:v>
                </c:pt>
                <c:pt idx="2">
                  <c:v>Kuldeep Yadav</c:v>
                </c:pt>
                <c:pt idx="3">
                  <c:v>Sunil Narine</c:v>
                </c:pt>
                <c:pt idx="4">
                  <c:v>Trent Boult</c:v>
                </c:pt>
                <c:pt idx="5">
                  <c:v>Yuzvendra Chahal</c:v>
                </c:pt>
              </c:strCache>
            </c:strRef>
          </c:cat>
          <c:val>
            <c:numRef>
              <c:f>playershit!$T$2:$T$8</c:f>
              <c:numCache>
                <c:formatCode>General</c:formatCode>
                <c:ptCount val="6"/>
                <c:pt idx="0">
                  <c:v>5.5</c:v>
                </c:pt>
                <c:pt idx="1">
                  <c:v>0</c:v>
                </c:pt>
                <c:pt idx="2">
                  <c:v>4.25</c:v>
                </c:pt>
                <c:pt idx="3">
                  <c:v>5.5</c:v>
                </c:pt>
                <c:pt idx="4">
                  <c:v>5.14</c:v>
                </c:pt>
                <c:pt idx="5">
                  <c:v>5</c:v>
                </c:pt>
              </c:numCache>
            </c:numRef>
          </c:val>
          <c:extLst>
            <c:ext xmlns:c16="http://schemas.microsoft.com/office/drawing/2014/chart" uri="{C3380CC4-5D6E-409C-BE32-E72D297353CC}">
              <c16:uniqueId val="{00000042-2CC6-47FC-B4D1-5E85A1EF87E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jpg"/><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5" Type="http://schemas.openxmlformats.org/officeDocument/2006/relationships/image" Target="../media/image1.jpg"/><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635000</xdr:colOff>
      <xdr:row>43</xdr:row>
      <xdr:rowOff>18184</xdr:rowOff>
    </xdr:from>
    <xdr:to>
      <xdr:col>5</xdr:col>
      <xdr:colOff>251692</xdr:colOff>
      <xdr:row>57</xdr:row>
      <xdr:rowOff>23091</xdr:rowOff>
    </xdr:to>
    <xdr:graphicFrame macro="">
      <xdr:nvGraphicFramePr>
        <xdr:cNvPr id="3" name="Chart 2">
          <a:extLst>
            <a:ext uri="{FF2B5EF4-FFF2-40B4-BE49-F238E27FC236}">
              <a16:creationId xmlns:a16="http://schemas.microsoft.com/office/drawing/2014/main" id="{077AA460-A396-49DF-949C-1C6580FCEB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422853</xdr:colOff>
      <xdr:row>43</xdr:row>
      <xdr:rowOff>58593</xdr:rowOff>
    </xdr:from>
    <xdr:to>
      <xdr:col>18</xdr:col>
      <xdr:colOff>111125</xdr:colOff>
      <xdr:row>58</xdr:row>
      <xdr:rowOff>30884</xdr:rowOff>
    </xdr:to>
    <xdr:graphicFrame macro="">
      <xdr:nvGraphicFramePr>
        <xdr:cNvPr id="4" name="Chart 3">
          <a:extLst>
            <a:ext uri="{FF2B5EF4-FFF2-40B4-BE49-F238E27FC236}">
              <a16:creationId xmlns:a16="http://schemas.microsoft.com/office/drawing/2014/main" id="{800B0E47-CBF2-4E5C-B603-A12CA633E8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603252</xdr:colOff>
      <xdr:row>42</xdr:row>
      <xdr:rowOff>110548</xdr:rowOff>
    </xdr:from>
    <xdr:to>
      <xdr:col>27</xdr:col>
      <xdr:colOff>464703</xdr:colOff>
      <xdr:row>57</xdr:row>
      <xdr:rowOff>15875</xdr:rowOff>
    </xdr:to>
    <xdr:graphicFrame macro="">
      <xdr:nvGraphicFramePr>
        <xdr:cNvPr id="5" name="Chart 4">
          <a:extLst>
            <a:ext uri="{FF2B5EF4-FFF2-40B4-BE49-F238E27FC236}">
              <a16:creationId xmlns:a16="http://schemas.microsoft.com/office/drawing/2014/main" id="{5CC82349-655C-488A-9BCA-DABBFB1C1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1545647</xdr:colOff>
      <xdr:row>42</xdr:row>
      <xdr:rowOff>9525</xdr:rowOff>
    </xdr:from>
    <xdr:to>
      <xdr:col>36</xdr:col>
      <xdr:colOff>269875</xdr:colOff>
      <xdr:row>56</xdr:row>
      <xdr:rowOff>166544</xdr:rowOff>
    </xdr:to>
    <xdr:graphicFrame macro="">
      <xdr:nvGraphicFramePr>
        <xdr:cNvPr id="7" name="Chart 6">
          <a:extLst>
            <a:ext uri="{FF2B5EF4-FFF2-40B4-BE49-F238E27FC236}">
              <a16:creationId xmlns:a16="http://schemas.microsoft.com/office/drawing/2014/main" id="{A0A5FE91-25F5-466E-9834-F15AAE663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11546</xdr:colOff>
      <xdr:row>10</xdr:row>
      <xdr:rowOff>173182</xdr:rowOff>
    </xdr:from>
    <xdr:to>
      <xdr:col>14</xdr:col>
      <xdr:colOff>508001</xdr:colOff>
      <xdr:row>24</xdr:row>
      <xdr:rowOff>173183</xdr:rowOff>
    </xdr:to>
    <xdr:graphicFrame macro="">
      <xdr:nvGraphicFramePr>
        <xdr:cNvPr id="2" name="Chart 1">
          <a:extLst>
            <a:ext uri="{FF2B5EF4-FFF2-40B4-BE49-F238E27FC236}">
              <a16:creationId xmlns:a16="http://schemas.microsoft.com/office/drawing/2014/main" id="{FFDFE058-7870-4C4A-A30A-C90329408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508001</xdr:colOff>
      <xdr:row>11</xdr:row>
      <xdr:rowOff>0</xdr:rowOff>
    </xdr:from>
    <xdr:to>
      <xdr:col>30</xdr:col>
      <xdr:colOff>11546</xdr:colOff>
      <xdr:row>25</xdr:row>
      <xdr:rowOff>98960</xdr:rowOff>
    </xdr:to>
    <xdr:graphicFrame macro="">
      <xdr:nvGraphicFramePr>
        <xdr:cNvPr id="3" name="Chart 2">
          <a:extLst>
            <a:ext uri="{FF2B5EF4-FFF2-40B4-BE49-F238E27FC236}">
              <a16:creationId xmlns:a16="http://schemas.microsoft.com/office/drawing/2014/main" id="{51E55E43-81F2-44F2-BBE2-67002EED8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415637</xdr:colOff>
      <xdr:row>24</xdr:row>
      <xdr:rowOff>150090</xdr:rowOff>
    </xdr:from>
    <xdr:to>
      <xdr:col>30</xdr:col>
      <xdr:colOff>34636</xdr:colOff>
      <xdr:row>39</xdr:row>
      <xdr:rowOff>127413</xdr:rowOff>
    </xdr:to>
    <xdr:graphicFrame macro="">
      <xdr:nvGraphicFramePr>
        <xdr:cNvPr id="4" name="Chart 3">
          <a:extLst>
            <a:ext uri="{FF2B5EF4-FFF2-40B4-BE49-F238E27FC236}">
              <a16:creationId xmlns:a16="http://schemas.microsoft.com/office/drawing/2014/main" id="{1B1CF615-877D-44E6-ADDC-D86BAC98A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25</xdr:row>
      <xdr:rowOff>34637</xdr:rowOff>
    </xdr:from>
    <xdr:to>
      <xdr:col>16</xdr:col>
      <xdr:colOff>450273</xdr:colOff>
      <xdr:row>39</xdr:row>
      <xdr:rowOff>34637</xdr:rowOff>
    </xdr:to>
    <xdr:graphicFrame macro="">
      <xdr:nvGraphicFramePr>
        <xdr:cNvPr id="5" name="Chart 4">
          <a:extLst>
            <a:ext uri="{FF2B5EF4-FFF2-40B4-BE49-F238E27FC236}">
              <a16:creationId xmlns:a16="http://schemas.microsoft.com/office/drawing/2014/main" id="{717C0105-7791-4F1D-9D92-C1C60F7053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29</xdr:col>
      <xdr:colOff>600363</xdr:colOff>
      <xdr:row>10</xdr:row>
      <xdr:rowOff>162794</xdr:rowOff>
    </xdr:from>
    <xdr:to>
      <xdr:col>35</xdr:col>
      <xdr:colOff>196272</xdr:colOff>
      <xdr:row>22</xdr:row>
      <xdr:rowOff>138546</xdr:rowOff>
    </xdr:to>
    <mc:AlternateContent xmlns:mc="http://schemas.openxmlformats.org/markup-compatibility/2006">
      <mc:Choice xmlns:a14="http://schemas.microsoft.com/office/drawing/2010/main" Requires="a14">
        <xdr:graphicFrame macro="">
          <xdr:nvGraphicFramePr>
            <xdr:cNvPr id="6" name="Team_Name">
              <a:extLst>
                <a:ext uri="{FF2B5EF4-FFF2-40B4-BE49-F238E27FC236}">
                  <a16:creationId xmlns:a16="http://schemas.microsoft.com/office/drawing/2014/main" id="{68B3962E-98F3-4A75-9DBD-D5D9AFCE824B}"/>
                </a:ext>
              </a:extLst>
            </xdr:cNvPr>
            <xdr:cNvGraphicFramePr/>
          </xdr:nvGraphicFramePr>
          <xdr:xfrm>
            <a:off x="0" y="0"/>
            <a:ext cx="0" cy="0"/>
          </xdr:xfrm>
          <a:graphic>
            <a:graphicData uri="http://schemas.microsoft.com/office/drawing/2010/slicer">
              <sle:slicer xmlns:sle="http://schemas.microsoft.com/office/drawing/2010/slicer" name="Team_Name"/>
            </a:graphicData>
          </a:graphic>
        </xdr:graphicFrame>
      </mc:Choice>
      <mc:Fallback>
        <xdr:sp macro="" textlink="">
          <xdr:nvSpPr>
            <xdr:cNvPr id="0" name=""/>
            <xdr:cNvSpPr>
              <a:spLocks noTextEdit="1"/>
            </xdr:cNvSpPr>
          </xdr:nvSpPr>
          <xdr:spPr>
            <a:xfrm>
              <a:off x="18345727" y="2010067"/>
              <a:ext cx="3267363" cy="2192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461818</xdr:colOff>
      <xdr:row>0</xdr:row>
      <xdr:rowOff>46182</xdr:rowOff>
    </xdr:from>
    <xdr:to>
      <xdr:col>20</xdr:col>
      <xdr:colOff>380999</xdr:colOff>
      <xdr:row>10</xdr:row>
      <xdr:rowOff>161636</xdr:rowOff>
    </xdr:to>
    <xdr:pic>
      <xdr:nvPicPr>
        <xdr:cNvPr id="11" name="Picture 10">
          <a:extLst>
            <a:ext uri="{FF2B5EF4-FFF2-40B4-BE49-F238E27FC236}">
              <a16:creationId xmlns:a16="http://schemas.microsoft.com/office/drawing/2014/main" id="{3C568C90-DDC9-41D9-A1A7-3BE2365871D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416636" y="46182"/>
          <a:ext cx="4202545" cy="1962727"/>
        </a:xfrm>
        <a:prstGeom prst="rect">
          <a:avLst/>
        </a:prstGeom>
      </xdr:spPr>
    </xdr:pic>
    <xdr:clientData/>
  </xdr:twoCellAnchor>
  <xdr:twoCellAnchor>
    <xdr:from>
      <xdr:col>0</xdr:col>
      <xdr:colOff>37946</xdr:colOff>
      <xdr:row>1</xdr:row>
      <xdr:rowOff>137356</xdr:rowOff>
    </xdr:from>
    <xdr:to>
      <xdr:col>4</xdr:col>
      <xdr:colOff>602230</xdr:colOff>
      <xdr:row>10</xdr:row>
      <xdr:rowOff>89732</xdr:rowOff>
    </xdr:to>
    <xdr:sp macro="" textlink="">
      <xdr:nvSpPr>
        <xdr:cNvPr id="12" name="Rectangle: Rounded Corners 11">
          <a:extLst>
            <a:ext uri="{FF2B5EF4-FFF2-40B4-BE49-F238E27FC236}">
              <a16:creationId xmlns:a16="http://schemas.microsoft.com/office/drawing/2014/main" id="{09EE85C3-B720-4484-B830-100AB38197CD}"/>
            </a:ext>
          </a:extLst>
        </xdr:cNvPr>
        <xdr:cNvSpPr/>
      </xdr:nvSpPr>
      <xdr:spPr>
        <a:xfrm>
          <a:off x="4321310" y="322083"/>
          <a:ext cx="3011920" cy="161492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0</xdr:colOff>
      <xdr:row>2</xdr:row>
      <xdr:rowOff>43295</xdr:rowOff>
    </xdr:from>
    <xdr:ext cx="3064953" cy="550956"/>
    <xdr:sp macro="" textlink="">
      <xdr:nvSpPr>
        <xdr:cNvPr id="15" name="TextBox 14">
          <a:extLst>
            <a:ext uri="{FF2B5EF4-FFF2-40B4-BE49-F238E27FC236}">
              <a16:creationId xmlns:a16="http://schemas.microsoft.com/office/drawing/2014/main" id="{A8E83F59-D597-4348-BA33-769BA2CED17A}"/>
            </a:ext>
          </a:extLst>
        </xdr:cNvPr>
        <xdr:cNvSpPr txBox="1"/>
      </xdr:nvSpPr>
      <xdr:spPr>
        <a:xfrm>
          <a:off x="0" y="412750"/>
          <a:ext cx="3064953" cy="55095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t>Tota</a:t>
          </a:r>
          <a:r>
            <a:rPr lang="en-US" sz="2800" b="1" baseline="0"/>
            <a:t>l Matches </a:t>
          </a:r>
          <a:endParaRPr lang="en-US" sz="2800" b="1"/>
        </a:p>
      </xdr:txBody>
    </xdr:sp>
    <xdr:clientData/>
  </xdr:oneCellAnchor>
  <xdr:twoCellAnchor>
    <xdr:from>
      <xdr:col>6</xdr:col>
      <xdr:colOff>14856</xdr:colOff>
      <xdr:row>1</xdr:row>
      <xdr:rowOff>114265</xdr:rowOff>
    </xdr:from>
    <xdr:to>
      <xdr:col>10</xdr:col>
      <xdr:colOff>579140</xdr:colOff>
      <xdr:row>10</xdr:row>
      <xdr:rowOff>66641</xdr:rowOff>
    </xdr:to>
    <xdr:sp macro="" textlink="">
      <xdr:nvSpPr>
        <xdr:cNvPr id="16" name="Rectangle: Rounded Corners 15">
          <a:extLst>
            <a:ext uri="{FF2B5EF4-FFF2-40B4-BE49-F238E27FC236}">
              <a16:creationId xmlns:a16="http://schemas.microsoft.com/office/drawing/2014/main" id="{6B587D58-F9D7-49D8-BC19-54AA3E0A6F22}"/>
            </a:ext>
          </a:extLst>
        </xdr:cNvPr>
        <xdr:cNvSpPr/>
      </xdr:nvSpPr>
      <xdr:spPr>
        <a:xfrm>
          <a:off x="3686311" y="298992"/>
          <a:ext cx="3011920" cy="161492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6</xdr:col>
      <xdr:colOff>23090</xdr:colOff>
      <xdr:row>1</xdr:row>
      <xdr:rowOff>158750</xdr:rowOff>
    </xdr:from>
    <xdr:ext cx="3001819" cy="550956"/>
    <xdr:sp macro="" textlink="">
      <xdr:nvSpPr>
        <xdr:cNvPr id="17" name="TextBox 16">
          <a:extLst>
            <a:ext uri="{FF2B5EF4-FFF2-40B4-BE49-F238E27FC236}">
              <a16:creationId xmlns:a16="http://schemas.microsoft.com/office/drawing/2014/main" id="{FB9A51F8-D4C2-459B-8BBA-FBB62D982A75}"/>
            </a:ext>
          </a:extLst>
        </xdr:cNvPr>
        <xdr:cNvSpPr txBox="1"/>
      </xdr:nvSpPr>
      <xdr:spPr>
        <a:xfrm>
          <a:off x="3694545" y="343477"/>
          <a:ext cx="3001819" cy="55095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t>Tota</a:t>
          </a:r>
          <a:r>
            <a:rPr lang="en-US" sz="2800" b="1" baseline="0"/>
            <a:t>l Teams </a:t>
          </a:r>
          <a:endParaRPr lang="en-US" sz="2800" b="1"/>
        </a:p>
      </xdr:txBody>
    </xdr:sp>
    <xdr:clientData/>
  </xdr:oneCellAnchor>
  <xdr:twoCellAnchor>
    <xdr:from>
      <xdr:col>24</xdr:col>
      <xdr:colOff>61038</xdr:colOff>
      <xdr:row>1</xdr:row>
      <xdr:rowOff>33447</xdr:rowOff>
    </xdr:from>
    <xdr:to>
      <xdr:col>29</xdr:col>
      <xdr:colOff>13413</xdr:colOff>
      <xdr:row>9</xdr:row>
      <xdr:rowOff>170551</xdr:rowOff>
    </xdr:to>
    <xdr:sp macro="" textlink="">
      <xdr:nvSpPr>
        <xdr:cNvPr id="27" name="Rectangle: Rounded Corners 26">
          <a:extLst>
            <a:ext uri="{FF2B5EF4-FFF2-40B4-BE49-F238E27FC236}">
              <a16:creationId xmlns:a16="http://schemas.microsoft.com/office/drawing/2014/main" id="{46894477-BACF-4EBC-9D9C-6DED7EB0ED1C}"/>
            </a:ext>
          </a:extLst>
        </xdr:cNvPr>
        <xdr:cNvSpPr/>
      </xdr:nvSpPr>
      <xdr:spPr>
        <a:xfrm>
          <a:off x="7403947" y="218174"/>
          <a:ext cx="3011921" cy="161492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24</xdr:col>
      <xdr:colOff>57727</xdr:colOff>
      <xdr:row>2</xdr:row>
      <xdr:rowOff>0</xdr:rowOff>
    </xdr:from>
    <xdr:ext cx="3005893" cy="524978"/>
    <xdr:sp macro="" textlink="">
      <xdr:nvSpPr>
        <xdr:cNvPr id="28" name="TextBox 27">
          <a:extLst>
            <a:ext uri="{FF2B5EF4-FFF2-40B4-BE49-F238E27FC236}">
              <a16:creationId xmlns:a16="http://schemas.microsoft.com/office/drawing/2014/main" id="{0583EBAE-4F56-472A-83C3-E0B8C560825A}"/>
            </a:ext>
          </a:extLst>
        </xdr:cNvPr>
        <xdr:cNvSpPr txBox="1"/>
      </xdr:nvSpPr>
      <xdr:spPr>
        <a:xfrm>
          <a:off x="14743545" y="369455"/>
          <a:ext cx="3005893" cy="52497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800" b="1"/>
            <a:t>Tota</a:t>
          </a:r>
          <a:r>
            <a:rPr lang="en-US" sz="2800" b="1" baseline="0"/>
            <a:t>l Runs  </a:t>
          </a:r>
          <a:endParaRPr lang="en-US" sz="2800" b="1"/>
        </a:p>
      </xdr:txBody>
    </xdr:sp>
    <xdr:clientData/>
  </xdr:oneCellAnchor>
  <xdr:twoCellAnchor>
    <xdr:from>
      <xdr:col>29</xdr:col>
      <xdr:colOff>511310</xdr:colOff>
      <xdr:row>1</xdr:row>
      <xdr:rowOff>33447</xdr:rowOff>
    </xdr:from>
    <xdr:to>
      <xdr:col>34</xdr:col>
      <xdr:colOff>463686</xdr:colOff>
      <xdr:row>9</xdr:row>
      <xdr:rowOff>170551</xdr:rowOff>
    </xdr:to>
    <xdr:sp macro="" textlink="">
      <xdr:nvSpPr>
        <xdr:cNvPr id="29" name="Rectangle: Rounded Corners 28">
          <a:extLst>
            <a:ext uri="{FF2B5EF4-FFF2-40B4-BE49-F238E27FC236}">
              <a16:creationId xmlns:a16="http://schemas.microsoft.com/office/drawing/2014/main" id="{D2763B70-FDD6-41FD-9D77-5346481252FA}"/>
            </a:ext>
          </a:extLst>
        </xdr:cNvPr>
        <xdr:cNvSpPr/>
      </xdr:nvSpPr>
      <xdr:spPr>
        <a:xfrm>
          <a:off x="18256674" y="218174"/>
          <a:ext cx="3011921" cy="161492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29</xdr:col>
      <xdr:colOff>519546</xdr:colOff>
      <xdr:row>1</xdr:row>
      <xdr:rowOff>158750</xdr:rowOff>
    </xdr:from>
    <xdr:ext cx="2967181" cy="550956"/>
    <xdr:sp macro="" textlink="">
      <xdr:nvSpPr>
        <xdr:cNvPr id="30" name="TextBox 29">
          <a:extLst>
            <a:ext uri="{FF2B5EF4-FFF2-40B4-BE49-F238E27FC236}">
              <a16:creationId xmlns:a16="http://schemas.microsoft.com/office/drawing/2014/main" id="{690A743E-CD76-4CF6-BA53-8C3B901E8A45}"/>
            </a:ext>
          </a:extLst>
        </xdr:cNvPr>
        <xdr:cNvSpPr txBox="1"/>
      </xdr:nvSpPr>
      <xdr:spPr>
        <a:xfrm>
          <a:off x="18264910" y="343477"/>
          <a:ext cx="2967181" cy="55095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800" b="1"/>
            <a:t>Tota</a:t>
          </a:r>
          <a:r>
            <a:rPr lang="en-US" sz="2800" b="1" baseline="0"/>
            <a:t>l Wickets</a:t>
          </a:r>
          <a:endParaRPr lang="en-US" sz="2800" b="1"/>
        </a:p>
      </xdr:txBody>
    </xdr:sp>
    <xdr:clientData/>
  </xdr:oneCellAnchor>
  <xdr:twoCellAnchor editAs="oneCell">
    <xdr:from>
      <xdr:col>29</xdr:col>
      <xdr:colOff>600363</xdr:colOff>
      <xdr:row>22</xdr:row>
      <xdr:rowOff>92364</xdr:rowOff>
    </xdr:from>
    <xdr:to>
      <xdr:col>35</xdr:col>
      <xdr:colOff>150091</xdr:colOff>
      <xdr:row>39</xdr:row>
      <xdr:rowOff>138545</xdr:rowOff>
    </xdr:to>
    <mc:AlternateContent xmlns:mc="http://schemas.openxmlformats.org/markup-compatibility/2006">
      <mc:Choice xmlns:a14="http://schemas.microsoft.com/office/drawing/2010/main" Requires="a14">
        <xdr:graphicFrame macro="">
          <xdr:nvGraphicFramePr>
            <xdr:cNvPr id="8" name="Venue_Name">
              <a:extLst>
                <a:ext uri="{FF2B5EF4-FFF2-40B4-BE49-F238E27FC236}">
                  <a16:creationId xmlns:a16="http://schemas.microsoft.com/office/drawing/2014/main" id="{4B244DEB-6547-402F-B6F7-63A410A2EB72}"/>
                </a:ext>
              </a:extLst>
            </xdr:cNvPr>
            <xdr:cNvGraphicFramePr/>
          </xdr:nvGraphicFramePr>
          <xdr:xfrm>
            <a:off x="0" y="0"/>
            <a:ext cx="0" cy="0"/>
          </xdr:xfrm>
          <a:graphic>
            <a:graphicData uri="http://schemas.microsoft.com/office/drawing/2010/slicer">
              <sle:slicer xmlns:sle="http://schemas.microsoft.com/office/drawing/2010/slicer" name="Venue_Name"/>
            </a:graphicData>
          </a:graphic>
        </xdr:graphicFrame>
      </mc:Choice>
      <mc:Fallback>
        <xdr:sp macro="" textlink="">
          <xdr:nvSpPr>
            <xdr:cNvPr id="0" name=""/>
            <xdr:cNvSpPr>
              <a:spLocks noTextEdit="1"/>
            </xdr:cNvSpPr>
          </xdr:nvSpPr>
          <xdr:spPr>
            <a:xfrm>
              <a:off x="18345727" y="4156364"/>
              <a:ext cx="3221182" cy="3186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311728</xdr:colOff>
      <xdr:row>3</xdr:row>
      <xdr:rowOff>83128</xdr:rowOff>
    </xdr:from>
    <xdr:to>
      <xdr:col>17</xdr:col>
      <xdr:colOff>600364</xdr:colOff>
      <xdr:row>18</xdr:row>
      <xdr:rowOff>55419</xdr:rowOff>
    </xdr:to>
    <xdr:graphicFrame macro="">
      <xdr:nvGraphicFramePr>
        <xdr:cNvPr id="2" name="Chart 1">
          <a:extLst>
            <a:ext uri="{FF2B5EF4-FFF2-40B4-BE49-F238E27FC236}">
              <a16:creationId xmlns:a16="http://schemas.microsoft.com/office/drawing/2014/main" id="{93803856-D8E9-497A-AF0E-22C37AA4B1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155863</xdr:colOff>
      <xdr:row>49</xdr:row>
      <xdr:rowOff>83127</xdr:rowOff>
    </xdr:from>
    <xdr:to>
      <xdr:col>6</xdr:col>
      <xdr:colOff>525317</xdr:colOff>
      <xdr:row>64</xdr:row>
      <xdr:rowOff>55418</xdr:rowOff>
    </xdr:to>
    <xdr:graphicFrame macro="">
      <xdr:nvGraphicFramePr>
        <xdr:cNvPr id="3" name="Chart 2">
          <a:extLst>
            <a:ext uri="{FF2B5EF4-FFF2-40B4-BE49-F238E27FC236}">
              <a16:creationId xmlns:a16="http://schemas.microsoft.com/office/drawing/2014/main" id="{78FAC549-45C1-46CB-A0B3-1DC556236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178955</xdr:colOff>
      <xdr:row>47</xdr:row>
      <xdr:rowOff>36945</xdr:rowOff>
    </xdr:from>
    <xdr:to>
      <xdr:col>16</xdr:col>
      <xdr:colOff>375228</xdr:colOff>
      <xdr:row>62</xdr:row>
      <xdr:rowOff>9236</xdr:rowOff>
    </xdr:to>
    <xdr:graphicFrame macro="">
      <xdr:nvGraphicFramePr>
        <xdr:cNvPr id="4" name="Chart 3">
          <a:extLst>
            <a:ext uri="{FF2B5EF4-FFF2-40B4-BE49-F238E27FC236}">
              <a16:creationId xmlns:a16="http://schemas.microsoft.com/office/drawing/2014/main" id="{0FA2186D-CFAD-4608-B328-BC1B19842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86591</xdr:colOff>
      <xdr:row>6</xdr:row>
      <xdr:rowOff>13855</xdr:rowOff>
    </xdr:from>
    <xdr:to>
      <xdr:col>24</xdr:col>
      <xdr:colOff>456045</xdr:colOff>
      <xdr:row>20</xdr:row>
      <xdr:rowOff>170874</xdr:rowOff>
    </xdr:to>
    <xdr:graphicFrame macro="">
      <xdr:nvGraphicFramePr>
        <xdr:cNvPr id="5" name="Chart 4">
          <a:extLst>
            <a:ext uri="{FF2B5EF4-FFF2-40B4-BE49-F238E27FC236}">
              <a16:creationId xmlns:a16="http://schemas.microsoft.com/office/drawing/2014/main" id="{BCDB254D-0882-444C-9AD4-22A2CA706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94142</xdr:rowOff>
    </xdr:from>
    <xdr:to>
      <xdr:col>12</xdr:col>
      <xdr:colOff>158750</xdr:colOff>
      <xdr:row>31</xdr:row>
      <xdr:rowOff>122462</xdr:rowOff>
    </xdr:to>
    <xdr:graphicFrame macro="">
      <xdr:nvGraphicFramePr>
        <xdr:cNvPr id="2" name="Chart 1">
          <a:extLst>
            <a:ext uri="{FF2B5EF4-FFF2-40B4-BE49-F238E27FC236}">
              <a16:creationId xmlns:a16="http://schemas.microsoft.com/office/drawing/2014/main" id="{440BA129-5335-400F-8F31-CE3681E2D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17607</xdr:rowOff>
    </xdr:from>
    <xdr:to>
      <xdr:col>7</xdr:col>
      <xdr:colOff>399336</xdr:colOff>
      <xdr:row>16</xdr:row>
      <xdr:rowOff>105834</xdr:rowOff>
    </xdr:to>
    <xdr:graphicFrame macro="">
      <xdr:nvGraphicFramePr>
        <xdr:cNvPr id="3" name="Chart 2">
          <a:extLst>
            <a:ext uri="{FF2B5EF4-FFF2-40B4-BE49-F238E27FC236}">
              <a16:creationId xmlns:a16="http://schemas.microsoft.com/office/drawing/2014/main" id="{12B87D38-4E87-42A4-ACC1-500AADBA7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163160</xdr:colOff>
      <xdr:row>16</xdr:row>
      <xdr:rowOff>98162</xdr:rowOff>
    </xdr:from>
    <xdr:to>
      <xdr:col>19</xdr:col>
      <xdr:colOff>575768</xdr:colOff>
      <xdr:row>31</xdr:row>
      <xdr:rowOff>130262</xdr:rowOff>
    </xdr:to>
    <xdr:graphicFrame macro="">
      <xdr:nvGraphicFramePr>
        <xdr:cNvPr id="4" name="Chart 3">
          <a:extLst>
            <a:ext uri="{FF2B5EF4-FFF2-40B4-BE49-F238E27FC236}">
              <a16:creationId xmlns:a16="http://schemas.microsoft.com/office/drawing/2014/main" id="{4C2AAE2A-C3DA-42F3-8825-4507B4762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399880</xdr:colOff>
      <xdr:row>4</xdr:row>
      <xdr:rowOff>14396</xdr:rowOff>
    </xdr:from>
    <xdr:to>
      <xdr:col>15</xdr:col>
      <xdr:colOff>573264</xdr:colOff>
      <xdr:row>16</xdr:row>
      <xdr:rowOff>114653</xdr:rowOff>
    </xdr:to>
    <xdr:graphicFrame macro="">
      <xdr:nvGraphicFramePr>
        <xdr:cNvPr id="5" name="Chart 4">
          <a:extLst>
            <a:ext uri="{FF2B5EF4-FFF2-40B4-BE49-F238E27FC236}">
              <a16:creationId xmlns:a16="http://schemas.microsoft.com/office/drawing/2014/main" id="{36AD92E2-F8A3-44FE-8482-5D3E8C401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573264</xdr:colOff>
      <xdr:row>3</xdr:row>
      <xdr:rowOff>176389</xdr:rowOff>
    </xdr:from>
    <xdr:to>
      <xdr:col>20</xdr:col>
      <xdr:colOff>0</xdr:colOff>
      <xdr:row>16</xdr:row>
      <xdr:rowOff>144991</xdr:rowOff>
    </xdr:to>
    <mc:AlternateContent xmlns:mc="http://schemas.openxmlformats.org/markup-compatibility/2006">
      <mc:Choice xmlns:a14="http://schemas.microsoft.com/office/drawing/2010/main" Requires="a14">
        <xdr:graphicFrame macro="">
          <xdr:nvGraphicFramePr>
            <xdr:cNvPr id="13" name="Venue_Name 1">
              <a:extLst>
                <a:ext uri="{FF2B5EF4-FFF2-40B4-BE49-F238E27FC236}">
                  <a16:creationId xmlns:a16="http://schemas.microsoft.com/office/drawing/2014/main" id="{146462A3-9C92-453A-8774-AA324D43923E}"/>
                </a:ext>
              </a:extLst>
            </xdr:cNvPr>
            <xdr:cNvGraphicFramePr/>
          </xdr:nvGraphicFramePr>
          <xdr:xfrm>
            <a:off x="0" y="0"/>
            <a:ext cx="0" cy="0"/>
          </xdr:xfrm>
          <a:graphic>
            <a:graphicData uri="http://schemas.microsoft.com/office/drawing/2010/slicer">
              <sle:slicer xmlns:sle="http://schemas.microsoft.com/office/drawing/2010/slicer" name="Venue_Name 1"/>
            </a:graphicData>
          </a:graphic>
        </xdr:graphicFrame>
      </mc:Choice>
      <mc:Fallback>
        <xdr:sp macro="" textlink="">
          <xdr:nvSpPr>
            <xdr:cNvPr id="0" name=""/>
            <xdr:cNvSpPr>
              <a:spLocks noTextEdit="1"/>
            </xdr:cNvSpPr>
          </xdr:nvSpPr>
          <xdr:spPr>
            <a:xfrm>
              <a:off x="9701389" y="749653"/>
              <a:ext cx="2760486" cy="2385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0</xdr:row>
      <xdr:rowOff>1</xdr:rowOff>
    </xdr:from>
    <xdr:to>
      <xdr:col>1</xdr:col>
      <xdr:colOff>211667</xdr:colOff>
      <xdr:row>4</xdr:row>
      <xdr:rowOff>52917</xdr:rowOff>
    </xdr:to>
    <xdr:pic>
      <xdr:nvPicPr>
        <xdr:cNvPr id="15" name="Picture 14">
          <a:extLst>
            <a:ext uri="{FF2B5EF4-FFF2-40B4-BE49-F238E27FC236}">
              <a16:creationId xmlns:a16="http://schemas.microsoft.com/office/drawing/2014/main" id="{D66BBECB-018C-42A1-AF1B-584C686DD90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 y="1"/>
          <a:ext cx="820208" cy="8202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0.95742175926" createdVersion="7" refreshedVersion="7" minRefreshableVersion="3" recordCount="60" xr:uid="{FFC78B71-32C3-4D8D-A708-2B287F7F5FD7}">
  <cacheSource type="worksheet">
    <worksheetSource name="fact_match"/>
  </cacheSource>
  <cacheFields count="14">
    <cacheField name="Match_ID" numFmtId="0">
      <sharedItems/>
    </cacheField>
    <cacheField name="Venue_ID" numFmtId="0">
      <sharedItems/>
    </cacheField>
    <cacheField name="Date" numFmtId="0">
      <sharedItems/>
    </cacheField>
    <cacheField name="Team1_ID" numFmtId="0">
      <sharedItems/>
    </cacheField>
    <cacheField name="Team2_ID" numFmtId="0">
      <sharedItems/>
    </cacheField>
    <cacheField name="Toss_Winner" numFmtId="0">
      <sharedItems/>
    </cacheField>
    <cacheField name="Match_Winner" numFmtId="0">
      <sharedItems/>
    </cacheField>
    <cacheField name="Man_of_Match" numFmtId="0">
      <sharedItems/>
    </cacheField>
    <cacheField name="Team1_Runs" numFmtId="0">
      <sharedItems containsSemiMixedTypes="0" containsString="0" containsNumber="1" containsInteger="1" minValue="149" maxValue="208"/>
    </cacheField>
    <cacheField name="Team2_Runs" numFmtId="0">
      <sharedItems containsSemiMixedTypes="0" containsString="0" containsNumber="1" containsInteger="1" minValue="150" maxValue="198"/>
    </cacheField>
    <cacheField name="Team1_Wickets" numFmtId="0">
      <sharedItems containsSemiMixedTypes="0" containsString="0" containsNumber="1" containsInteger="1" minValue="3" maxValue="10"/>
    </cacheField>
    <cacheField name="Team2_Wickets" numFmtId="0">
      <sharedItems containsSemiMixedTypes="0" containsString="0" containsNumber="1" containsInteger="1" minValue="3" maxValue="10"/>
    </cacheField>
    <cacheField name="Overs_Team1" numFmtId="0">
      <sharedItems containsSemiMixedTypes="0" containsString="0" containsNumber="1" containsInteger="1" minValue="20" maxValue="20"/>
    </cacheField>
    <cacheField name="Overs_Team2" numFmtId="0">
      <sharedItems containsSemiMixedTypes="0" containsString="0" containsNumber="1" minValue="17" maxValue="2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2628819442" backgroundQuery="1" createdVersion="7" refreshedVersion="7" minRefreshableVersion="3" recordCount="0" supportSubquery="1" supportAdvancedDrill="1" xr:uid="{F239B0B5-A792-4E8A-8695-E6A1A4103764}">
  <cacheSource type="external" connectionId="7"/>
  <cacheFields count="10">
    <cacheField name="[dim_player].[Player_Name].[Player_Name]" caption="Player_Name" numFmtId="0" hierarchy="1" level="1">
      <sharedItems count="6">
        <s v="Arshdeep Singh"/>
        <s v="Jos Buttler"/>
        <s v="Kuldeep Yadav"/>
        <s v="Sunil Narine"/>
        <s v="Trent Boult"/>
        <s v="Yuzvendra Chahal"/>
      </sharedItems>
    </cacheField>
    <cacheField name="[dim_team].[Team_Name].[Team_Name]" caption="Team_Name" numFmtId="0" hierarchy="9" level="1">
      <sharedItems count="1">
        <s v="Rajasthan Royals (RR)"/>
      </sharedItems>
    </cacheField>
    <cacheField name="[dim_player].[Role].[Role]" caption="Role" numFmtId="0" hierarchy="3" level="1">
      <sharedItems count="3">
        <s v="Bowler"/>
        <s v="Wicketkeeper"/>
        <s v="All-Rounder"/>
      </sharedItems>
    </cacheField>
    <cacheField name="[Measures].[Sum of Runs]" caption="Sum of Runs" numFmtId="0" hierarchy="67" level="32767"/>
    <cacheField name="[Measures].[Sum of Balls_Faced]" caption="Sum of Balls_Faced" numFmtId="0" hierarchy="68" level="32767"/>
    <cacheField name="[Measures].[Sum of Wickets]" caption="Sum of Wickets" numFmtId="0" hierarchy="74" level="32767"/>
    <cacheField name="[Measures].[Sum of Runs_Conceded]" caption="Sum of Runs_Conceded" numFmtId="0" hierarchy="69" level="32767"/>
    <cacheField name="[Measures].[Sum of Strike_Rate]" caption="Sum of Strike_Rate" numFmtId="0" hierarchy="70" level="32767"/>
    <cacheField name="[Measures].[Sum of Economy]" caption="Sum of Economy" numFmtId="0" hierarchy="71" level="32767"/>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2"/>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1"/>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9"/>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8"/>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oneField="1" hidden="1">
      <fieldsUsage count="1">
        <fieldUsage x="5"/>
      </fieldsUsage>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2629629627" backgroundQuery="1" createdVersion="7" refreshedVersion="7" minRefreshableVersion="3" recordCount="0" supportSubquery="1" supportAdvancedDrill="1" xr:uid="{91FA8F04-4F2F-466B-AFBB-DABF21E90CB4}">
  <cacheSource type="external" connectionId="7"/>
  <cacheFields count="5">
    <cacheField name="[dim_player].[Player_Name].[Player_Name]" caption="Player_Name" numFmtId="0" hierarchy="1" level="1">
      <sharedItems count="6">
        <s v="Arshdeep Singh"/>
        <s v="Jos Buttler"/>
        <s v="Kuldeep Yadav"/>
        <s v="Sunil Narine"/>
        <s v="Trent Boult"/>
        <s v="Yuzvendra Chahal"/>
      </sharedItems>
    </cacheField>
    <cacheField name="[dim_team].[Team_Name].[Team_Name]" caption="Team_Name" numFmtId="0" hierarchy="9" level="1">
      <sharedItems count="1">
        <s v="Rajasthan Royals (RR)"/>
      </sharedItems>
    </cacheField>
    <cacheField name="[dim_player].[Role].[Role]" caption="Role" numFmtId="0" hierarchy="3" level="1">
      <sharedItems count="3">
        <s v="Bowler"/>
        <s v="Wicketkeeper"/>
        <s v="All-Rounder"/>
      </sharedItems>
    </cacheField>
    <cacheField name="[Measures].[Sum of Wickets]" caption="Sum of Wickets" numFmtId="0" hierarchy="74" level="32767"/>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2"/>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1"/>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4"/>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oneField="1" hidden="1">
      <fieldsUsage count="1">
        <fieldUsage x="3"/>
      </fieldsUsage>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2630439812" backgroundQuery="1" createdVersion="7" refreshedVersion="7" minRefreshableVersion="3" recordCount="0" supportSubquery="1" supportAdvancedDrill="1" xr:uid="{99379617-B485-489F-9C44-97DE5EA946E7}">
  <cacheSource type="external" connectionId="7"/>
  <cacheFields count="6">
    <cacheField name="[dim_player].[Player_Name].[Player_Name]" caption="Player_Name" numFmtId="0" hierarchy="1" level="1">
      <sharedItems count="6">
        <s v="Arshdeep Singh"/>
        <s v="Jos Buttler"/>
        <s v="Kuldeep Yadav"/>
        <s v="Sunil Narine"/>
        <s v="Trent Boult"/>
        <s v="Yuzvendra Chahal"/>
      </sharedItems>
    </cacheField>
    <cacheField name="[dim_team].[Team_Name].[Team_Name]" caption="Team_Name" numFmtId="0" hierarchy="9" level="1">
      <sharedItems count="1">
        <s v="Rajasthan Royals (RR)"/>
      </sharedItems>
    </cacheField>
    <cacheField name="[dim_player].[Role].[Role]" caption="Role" numFmtId="0" hierarchy="3" level="1">
      <sharedItems count="3">
        <s v="Bowler"/>
        <s v="Wicketkeeper"/>
        <s v="All-Rounder"/>
      </sharedItems>
    </cacheField>
    <cacheField name="[Measures].[Sum of Strike_Rate]" caption="Sum of Strike_Rate" numFmtId="0" hierarchy="70" level="32767"/>
    <cacheField name="[Measures].[Player Average Strike Rate]" caption="Player Average Strike Rate" numFmtId="0" hierarchy="56" level="32767"/>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2"/>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1"/>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5"/>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oneField="1">
      <fieldsUsage count="1">
        <fieldUsage x="4"/>
      </fieldsUsage>
    </cacheHierarchy>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oneField="1" hidden="1">
      <fieldsUsage count="1">
        <fieldUsage x="3"/>
      </fieldsUsage>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2631134259" backgroundQuery="1" createdVersion="7" refreshedVersion="7" minRefreshableVersion="3" recordCount="0" supportSubquery="1" supportAdvancedDrill="1" xr:uid="{4A83BD47-4753-4335-B2EC-14994E42DE4D}">
  <cacheSource type="external" connectionId="7"/>
  <cacheFields count="5">
    <cacheField name="[dim_player].[Player_Name].[Player_Name]" caption="Player_Name" numFmtId="0" hierarchy="1" level="1">
      <sharedItems count="33">
        <s v="Arshdeep Singh"/>
        <s v="Jos Buttler"/>
        <s v="Kuldeep Yadav"/>
        <s v="Sunil Narine"/>
        <s v="Trent Boult"/>
        <s v="Yuzvendra Chahal"/>
        <s v="Daryl Mitchell" u="1"/>
        <s v="Deepak Chahar" u="1"/>
        <s v="Hardik Pandya" u="1"/>
        <s v="Heinrich Klaasen" u="1"/>
        <s v="Jasprit Bumrah" u="1"/>
        <s v="Mohammed Siraj" u="1"/>
        <s v="Suryakumar Yadav" u="1"/>
        <s v="Tilak Varma" u="1"/>
        <s v="Andre Russell" u="1"/>
        <s v="Kagiso Rabada" u="1"/>
        <s v="Liam Livingstone" u="1"/>
        <s v="Mitchell Marsh" u="1"/>
        <s v="Travis Head" u="1"/>
        <s v="Yashasvi Jaiswal" u="1"/>
        <s v="Abhishek Sharma" u="1"/>
        <s v="Bhuvneshwar Kumar" u="1"/>
        <s v="Jitesh Sharma" u="1"/>
        <s v="Varun Chakravarthy" u="1"/>
        <s v="Axar Patel" u="1"/>
        <s v="David Warner" u="1"/>
        <s v="Ishan Kishan" u="1"/>
        <s v="Dinesh Karthik" u="1"/>
        <s v="Glenn Maxwell" u="1"/>
        <s v="Matheesha Pathirana" u="1"/>
        <s v="Rinku Singh" u="1"/>
        <s v="Shivam Dube" u="1"/>
        <s v="Virat Kohli" u="1"/>
      </sharedItems>
    </cacheField>
    <cacheField name="[dim_team].[Team_Name].[Team_Name]" caption="Team_Name" numFmtId="0" hierarchy="9" level="1">
      <sharedItems containsNonDate="0" containsBlank="1" count="2">
        <s v="Rajasthan Royals (RR)"/>
        <m/>
      </sharedItems>
    </cacheField>
    <cacheField name="[dim_player].[Role].[Role]" caption="Role" numFmtId="0" hierarchy="3" level="1">
      <sharedItems containsNonDate="0" count="1">
        <s v="Bowler"/>
      </sharedItems>
    </cacheField>
    <cacheField name="[Measures].[Sum of Economy]" caption="Sum of Economy" numFmtId="0" hierarchy="71" level="32767"/>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2" memberValueDatatype="130" unbalanced="0">
      <fieldsUsage count="2">
        <fieldUsage x="-1"/>
        <fieldUsage x="2"/>
      </fieldsUsage>
    </cacheHierarchy>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1"/>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4"/>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0" memberValueDatatype="130" unbalanced="0"/>
    <cacheHierarchy uniqueName="[fact_match].[Vanue_Name]" caption="Vanue_Name" attribute="1" defaultMemberUniqueName="[fact_match].[Vanue_Name].[All]" allUniqueName="[fact_match].[Vanue_Name].[All]" dimensionUniqueName="[fact_match]" displayFolder="" count="0"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oneField="1" hidden="1">
      <fieldsUsage count="1">
        <fieldUsage x="3"/>
      </fieldsUsage>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9203125002" backgroundQuery="1" createdVersion="7" refreshedVersion="7" minRefreshableVersion="3" recordCount="0" supportSubquery="1" supportAdvancedDrill="1" xr:uid="{925BE98B-92B0-4751-AAB2-661E5BCE3E2F}">
  <cacheSource type="external" connectionId="7"/>
  <cacheFields count="7">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Count of Match_ID]" caption="Count of Match_ID" numFmtId="0" hierarchy="66" level="32767"/>
    <cacheField name="[Measures].[Total Runs]" caption="Total Runs" numFmtId="0" hierarchy="52" level="32767"/>
    <cacheField name="[Measures].[Totalwickets]" caption="Totalwickets" numFmtId="0" hierarchy="53" level="32767"/>
    <cacheField name="[Measures].[TeamWins]" caption="TeamWins" numFmtId="0" hierarchy="59" level="32767"/>
    <cacheField name="[fact_match].[Vanue_Name].[Vanue_Name]" caption="Vanue_Name" numFmtId="0" hierarchy="37" level="1">
      <sharedItems containsSemiMixedTypes="0" containsNonDate="0" containsString="0"/>
    </cacheField>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6"/>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fieldsUsage count="2">
        <fieldUsage x="-1"/>
        <fieldUsage x="5"/>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oneField="1">
      <fieldsUsage count="1">
        <fieldUsage x="2"/>
      </fieldsUsage>
    </cacheHierarchy>
    <cacheHierarchy uniqueName="[Measures].[Totalwickets]" caption="Totalwickets" measure="1" displayFolder="" measureGroup="fact_match" count="0" oneField="1">
      <fieldsUsage count="1">
        <fieldUsage x="3"/>
      </fieldsUsage>
    </cacheHierarchy>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oneField="1">
      <fieldsUsage count="1">
        <fieldUsage x="4"/>
      </fieldsUsage>
    </cacheHierarchy>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9203587964" backgroundQuery="1" createdVersion="7" refreshedVersion="7" minRefreshableVersion="3" recordCount="0" supportSubquery="1" supportAdvancedDrill="1" xr:uid="{75FDFF05-A7CB-4E00-A597-F9D7EB70EE64}">
  <cacheSource type="external" connectionId="7"/>
  <cacheFields count="4">
    <cacheField name="[dim_team].[Team_Name].[Team_Name]" caption="Team_Name" numFmtId="0" hierarchy="9" level="1">
      <sharedItems containsBlank="1" count="9">
        <s v="Chennai Super Kings (CSK)"/>
        <s v="Delhi Capitals (DC)"/>
        <s v="Kolkata Knight Riders (KKR)"/>
        <s v="Mumbai Indians (MI)"/>
        <s v="Punjab Kings (PBKS)"/>
        <s v="Rajasthan Royals (RR)"/>
        <s v="Royal Challengers Bengaluru (RCB)"/>
        <s v="Sunrisers Hyderabad (SRH)"/>
        <m/>
      </sharedItems>
    </cacheField>
    <cacheField name="[Measures].[TeamWins]" caption="TeamWins" numFmtId="0" hierarchy="59" level="32767"/>
    <cacheField name="[fact_match].[Vanue_Name].[Vanue_Name]" caption="Vanue_Name" numFmtId="0" hierarchy="37" level="1">
      <sharedItems containsSemiMixedTypes="0" containsNonDate="0" containsString="0"/>
    </cacheField>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3"/>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oneField="1">
      <fieldsUsage count="1">
        <fieldUsage x="1"/>
      </fieldsUsage>
    </cacheHierarchy>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9204166665" backgroundQuery="1" createdVersion="7" refreshedVersion="7" minRefreshableVersion="3" recordCount="0" supportSubquery="1" supportAdvancedDrill="1" xr:uid="{E8812FEB-F4D8-4950-A8D1-5D68802BBF7A}">
  <cacheSource type="external" connectionId="7"/>
  <cacheFields count="4">
    <cacheField name="[dim_team].[Team_Name].[Team_Name]" caption="Team_Name" numFmtId="0" hierarchy="9"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 Runs]" caption="Total Runs" numFmtId="0" hierarchy="52" level="32767"/>
    <cacheField name="[fact_match].[Vanue_Name].[Vanue_Name]" caption="Vanue_Name" numFmtId="0" hierarchy="37" level="1">
      <sharedItems containsSemiMixedTypes="0" containsNonDate="0" containsString="0"/>
    </cacheField>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3"/>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oneField="1">
      <fieldsUsage count="1">
        <fieldUsage x="1"/>
      </fieldsUsage>
    </cacheHierarchy>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9204629627" backgroundQuery="1" createdVersion="7" refreshedVersion="7" minRefreshableVersion="3" recordCount="0" supportSubquery="1" supportAdvancedDrill="1" xr:uid="{7F42F0CC-FABB-49C4-B078-FDC6E4D2BFA6}">
  <cacheSource type="external" connectionId="7"/>
  <cacheFields count="4">
    <cacheField name="[Measures].[Total Runs]" caption="Total Runs" numFmtId="0" hierarchy="52" level="32767"/>
    <cacheField name="[fact_match].[Win_Type].[Win_Type]" caption="Win_Type" numFmtId="0" hierarchy="35" level="1">
      <sharedItems count="2">
        <s v="WIN BY  RUNS "/>
        <s v="WIN BY WICKETS"/>
      </sharedItems>
    </cacheField>
    <cacheField name="[fact_match].[Vanue_Name].[Vanue_Name]" caption="Vanue_Name" numFmtId="0" hierarchy="37" level="1">
      <sharedItems containsSemiMixedTypes="0" containsNonDate="0" containsString="0"/>
    </cacheField>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3"/>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1"/>
      </fieldsUsage>
    </cacheHierarchy>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fieldsUsage count="2">
        <fieldUsage x="-1"/>
        <fieldUsage x="2"/>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oneField="1">
      <fieldsUsage count="1">
        <fieldUsage x="0"/>
      </fieldsUsage>
    </cacheHierarchy>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3.009205208335" backgroundQuery="1" createdVersion="7" refreshedVersion="7" minRefreshableVersion="3" recordCount="0" supportSubquery="1" supportAdvancedDrill="1" xr:uid="{A8D9402B-8422-4FC4-8629-341A3E4FC0BD}">
  <cacheSource type="external" connectionId="7"/>
  <cacheFields count="3">
    <cacheField name="[fact_match].[Vanue_Name].[Vanue_Name]" caption="Vanue_Name" numFmtId="0" hierarchy="37" level="1">
      <sharedItems count="1">
        <s v="M. A. Chidambaram Stadium"/>
      </sharedItems>
    </cacheField>
    <cacheField name="[Measures].[Count of Team_ID]" caption="Count of Team_ID" numFmtId="0" hierarchy="73" level="32767"/>
    <cacheField name="[dim_venue].[Venue_Name].[Venue_Name]" caption="Venue_Name" numFmtId="0" hierarchy="16" level="1">
      <sharedItems containsSemiMixedTypes="0" containsNonDate="0" containsString="0"/>
    </cacheField>
  </cacheFields>
  <cacheHierarchies count="75">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fieldsUsage count="2">
        <fieldUsage x="-1"/>
        <fieldUsage x="0"/>
      </fieldsUsage>
    </cacheHierarchy>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Wickets]" caption="Sum of Wickets" measure="1" displayFolder="" measureGroup="fact_player" count="0" hidden="1">
      <extLst>
        <ext xmlns:x15="http://schemas.microsoft.com/office/spreadsheetml/2010/11/main" uri="{B97F6D7D-B522-45F9-BDA1-12C45D357490}">
          <x15:cacheHierarchy aggregatedColumn="49"/>
        </ext>
      </extLst>
    </cacheHierarchy>
  </cacheHierarchies>
  <kpis count="0"/>
  <dimensions count="6">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measure="1" name="Measures" uniqueName="[Measures]" caption="Measures"/>
  </dimensions>
  <measureGroups count="5">
    <measureGroup name="dim_player" caption="dim_player"/>
    <measureGroup name="dim_team" caption="dim_team"/>
    <measureGroup name="dim_venue" caption="dim_venue"/>
    <measureGroup name="fact_match" caption="fact_match"/>
    <measureGroup name="fact_player" caption="fact_player"/>
  </measureGroups>
  <maps count="11">
    <map measureGroup="0" dimension="0"/>
    <map measureGroup="1" dimension="1"/>
    <map measureGroup="2" dimension="2"/>
    <map measureGroup="3" dimension="1"/>
    <map measureGroup="3"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01.988708101853" backgroundQuery="1" createdVersion="3" refreshedVersion="7" minRefreshableVersion="3" recordCount="0" supportSubquery="1" supportAdvancedDrill="1" xr:uid="{FA0524C9-F016-4D09-B168-BB7B84DD743B}">
  <cacheSource type="external" connectionId="7">
    <extLst>
      <ext xmlns:x14="http://schemas.microsoft.com/office/spreadsheetml/2009/9/main" uri="{F057638F-6D5F-4e77-A914-E7F072B9BCA8}">
        <x14:sourceConnection name="ThisWorkbookDataModel"/>
      </ext>
    </extLst>
  </cacheSource>
  <cacheFields count="0"/>
  <cacheHierarchies count="7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13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13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Date]" caption="Date" attribute="1" defaultMemberUniqueName="[fact_match].[Date].[All]" allUniqueName="[fact_match].[Date].[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20"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Team_Name]" caption="Team_Name" attribute="1" defaultMemberUniqueName="[fact_match].[Team_Name].[All]" allUniqueName="[fact_match].[Team_Name].[All]" dimensionUniqueName="[fact_match]" displayFolder="" count="2" memberValueDatatype="130" unbalanced="0"/>
    <cacheHierarchy uniqueName="[fact_match].[Vanue_Name]" caption="Vanue_Name" attribute="1" defaultMemberUniqueName="[fact_match].[Vanue_Name].[All]" allUniqueName="[fact_match].[Vanue_Name].[All]" dimensionUniqueName="[fact_match]" displayFolder="" count="2" memberValueDatatype="130" unbalanced="0"/>
    <cacheHierarchy uniqueName="[fact_match].[Home_Team]" caption="Home_Team" attribute="1" defaultMemberUniqueName="[fact_match].[Home_Team].[All]" allUniqueName="[fact_match].[Home_Team].[All]" dimensionUniqueName="[fact_match]" displayFolder="" count="0" memberValueDatatype="130" unbalanced="0"/>
    <cacheHierarchy uniqueName="[fact_match].[Is_Home_Team_Winner]" caption="Is_Home_Team_Winner" attribute="1" defaultMemberUniqueName="[fact_match].[Is_Home_Team_Winner].[All]" allUniqueName="[fact_match].[Is_Home_Team_Winner].[All]" dimensionUniqueName="[fact_match]" displayFolder="" count="0" memberValueDatatype="13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Measures].[Total_Matches]" caption="Total_Matches" measure="1" displayFolder="" measureGroup="fact_match" count="0"/>
    <cacheHierarchy uniqueName="[Measures].[Total Runs]" caption="Total Runs" measure="1" displayFolder="" measureGroup="fact_match" count="0"/>
    <cacheHierarchy uniqueName="[Measures].[Totalwickets]" caption="Totalwickets" measure="1" displayFolder="" measureGroup="fact_match" count="0"/>
    <cacheHierarchy uniqueName="[Measures].[Player_runs]" caption="Player_runs" measure="1" displayFolder="" measureGroup="fact_player" count="0"/>
    <cacheHierarchy uniqueName="[Measures].[Player_wickets]" caption="Player_wickets" measure="1" displayFolder="" measureGroup="fact_player" count="0"/>
    <cacheHierarchy uniqueName="[Measures].[Player Average Strike Rate]" caption="Player Average Strike Rate" measure="1" displayFolder="" measureGroup="fact_player" count="0"/>
    <cacheHierarchy uniqueName="[Measures].[MatchesPlayed]" caption="MatchesPlayed" measure="1" displayFolder="" measureGroup="fact_match" count="0"/>
    <cacheHierarchy uniqueName="[Measures].[Win%]" caption="Win%" measure="1" displayFolder="" measureGroup="fact_match" count="0"/>
    <cacheHierarchy uniqueName="[Measures].[TeamWins]" caption="TeamWins" measure="1" displayFolder="" measureGroup="fact_match" count="0"/>
    <cacheHierarchy uniqueName="[Measures].[__XL_Count fact_player]" caption="__XL_Count fact_player" measure="1" displayFolder="" measureGroup="fact_player" count="0" hidden="1"/>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player]" caption="__XL_Count dim_player" measure="1" displayFolder="" measureGroup="dim_player" count="0" hidden="1"/>
    <cacheHierarchy uniqueName="[Measures].[__XL_Count dim_team]" caption="__XL_Count dim_team" measure="1" displayFolder="" measureGroup="dim_team"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19"/>
        </ext>
      </extLst>
    </cacheHierarchy>
    <cacheHierarchy uniqueName="[Measures].[Sum of Runs]" caption="Sum of Runs" measure="1" displayFolder="" measureGroup="fact_player" count="0" hidden="1">
      <extLst>
        <ext xmlns:x15="http://schemas.microsoft.com/office/spreadsheetml/2010/11/main" uri="{B97F6D7D-B522-45F9-BDA1-12C45D357490}">
          <x15:cacheHierarchy aggregatedColumn="42"/>
        </ext>
      </extLst>
    </cacheHierarchy>
    <cacheHierarchy uniqueName="[Measures].[Sum of Balls_Faced]" caption="Sum of Balls_Faced" measure="1" displayFolder="" measureGroup="fact_player" count="0" hidden="1">
      <extLst>
        <ext xmlns:x15="http://schemas.microsoft.com/office/spreadsheetml/2010/11/main" uri="{B97F6D7D-B522-45F9-BDA1-12C45D357490}">
          <x15:cacheHierarchy aggregatedColumn="43"/>
        </ext>
      </extLst>
    </cacheHierarchy>
    <cacheHierarchy uniqueName="[Measures].[Sum of Runs_Conceded]" caption="Sum of Runs_Conceded" measure="1" displayFolder="" measureGroup="fact_player" count="0" hidden="1">
      <extLst>
        <ext xmlns:x15="http://schemas.microsoft.com/office/spreadsheetml/2010/11/main" uri="{B97F6D7D-B522-45F9-BDA1-12C45D357490}">
          <x15:cacheHierarchy aggregatedColumn="48"/>
        </ext>
      </extLst>
    </cacheHierarchy>
    <cacheHierarchy uniqueName="[Measures].[Sum of Strike_Rate]" caption="Sum of Strike_Rate" measure="1" displayFolder="" measureGroup="fact_player" count="0" hidden="1">
      <extLst>
        <ext xmlns:x15="http://schemas.microsoft.com/office/spreadsheetml/2010/11/main" uri="{B97F6D7D-B522-45F9-BDA1-12C45D357490}">
          <x15:cacheHierarchy aggregatedColumn="46"/>
        </ext>
      </extLst>
    </cacheHierarchy>
    <cacheHierarchy uniqueName="[Measures].[Sum of Economy]" caption="Sum of Economy" measure="1" displayFolder="" measureGroup="fact_player" count="0" hidden="1">
      <extLst>
        <ext xmlns:x15="http://schemas.microsoft.com/office/spreadsheetml/2010/11/main" uri="{B97F6D7D-B522-45F9-BDA1-12C45D357490}">
          <x15:cacheHierarchy aggregatedColumn="50"/>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5"/>
        </ext>
      </extLst>
    </cacheHierarchy>
    <cacheHierarchy uniqueName="[Measures].[Count of Team_ID]" caption="Count of Team_ID" measure="1" displayFolder="" measureGroup="dim_team"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99916885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M001"/>
    <s v="V02"/>
    <s v="3/22/2025"/>
    <s v="T02"/>
    <s v="T03"/>
    <s v="T02"/>
    <s v="T02"/>
    <s v="P006"/>
    <n v="192"/>
    <n v="174"/>
    <n v="4"/>
    <n v="8"/>
    <n v="20"/>
    <n v="20"/>
  </r>
  <r>
    <s v="M002"/>
    <s v="V08"/>
    <s v="3/23/2025"/>
    <s v="T08"/>
    <s v="T05"/>
    <s v="T08"/>
    <s v="T08"/>
    <s v="P033"/>
    <n v="184"/>
    <n v="183"/>
    <n v="7"/>
    <n v="9"/>
    <n v="20"/>
    <n v="20"/>
  </r>
  <r>
    <s v="M003"/>
    <s v="V04"/>
    <s v="3/23/2025"/>
    <s v="T04"/>
    <s v="T07"/>
    <s v="T07"/>
    <s v="T04"/>
    <s v="P015"/>
    <n v="208"/>
    <n v="198"/>
    <n v="6"/>
    <n v="7"/>
    <n v="20"/>
    <n v="20"/>
  </r>
  <r>
    <s v="M004"/>
    <s v="V06"/>
    <s v="3/24/2025"/>
    <s v="T06"/>
    <s v="T01"/>
    <s v="T01"/>
    <s v="T06"/>
    <s v="P022"/>
    <n v="193"/>
    <n v="165"/>
    <n v="5"/>
    <n v="10"/>
    <n v="20"/>
    <n v="17.2"/>
  </r>
  <r>
    <s v="M005"/>
    <s v="V03"/>
    <s v="3/25/2025"/>
    <s v="T03"/>
    <s v="T06"/>
    <s v="T03"/>
    <s v="T06"/>
    <s v="P025"/>
    <n v="181"/>
    <n v="185"/>
    <n v="5"/>
    <n v="4"/>
    <n v="20"/>
    <n v="19.3"/>
  </r>
  <r>
    <s v="M006"/>
    <s v="V05"/>
    <s v="3/26/2025"/>
    <s v="T05"/>
    <s v="T04"/>
    <s v="T05"/>
    <s v="T04"/>
    <s v="P016"/>
    <n v="164"/>
    <n v="165"/>
    <n v="8"/>
    <n v="3"/>
    <n v="20"/>
    <n v="18.399999999999999"/>
  </r>
  <r>
    <s v="M007"/>
    <s v="V02"/>
    <s v="3/27/2025"/>
    <s v="T02"/>
    <s v="T07"/>
    <s v="T07"/>
    <s v="T02"/>
    <s v="P007"/>
    <n v="178"/>
    <n v="169"/>
    <n v="6"/>
    <n v="9"/>
    <n v="20"/>
    <n v="20"/>
  </r>
  <r>
    <s v="M008"/>
    <s v="V01"/>
    <s v="3/28/2025"/>
    <s v="T01"/>
    <s v="T08"/>
    <s v="T01"/>
    <s v="T08"/>
    <s v="P032"/>
    <n v="154"/>
    <n v="155"/>
    <n v="10"/>
    <n v="3"/>
    <n v="20"/>
    <n v="17"/>
  </r>
  <r>
    <s v="M009"/>
    <s v="V04"/>
    <s v="3/29/2025"/>
    <s v="T04"/>
    <s v="T03"/>
    <s v="T03"/>
    <s v="T04"/>
    <s v="P017"/>
    <n v="171"/>
    <n v="156"/>
    <n v="5"/>
    <n v="9"/>
    <n v="20"/>
    <n v="18.3"/>
  </r>
  <r>
    <s v="M010"/>
    <s v="V06"/>
    <s v="3/30/2025"/>
    <s v="T06"/>
    <s v="T05"/>
    <s v="T05"/>
    <s v="T05"/>
    <s v="P019"/>
    <n v="149"/>
    <n v="150"/>
    <n v="9"/>
    <n v="4"/>
    <n v="20"/>
    <n v="18.100000000000001"/>
  </r>
  <r>
    <s v="M011"/>
    <s v="V07"/>
    <s v="3/31/2025"/>
    <s v="T07"/>
    <s v="T01"/>
    <s v="T01"/>
    <s v="T07"/>
    <s v="P026"/>
    <n v="177"/>
    <n v="152"/>
    <n v="7"/>
    <n v="8"/>
    <n v="20"/>
    <n v="18.399999999999999"/>
  </r>
  <r>
    <s v="M012"/>
    <s v="V08"/>
    <s v="4/1/2025"/>
    <s v="T08"/>
    <s v="T02"/>
    <s v="T02"/>
    <s v="T02"/>
    <s v="P008"/>
    <n v="161"/>
    <n v="162"/>
    <n v="8"/>
    <n v="6"/>
    <n v="20"/>
    <n v="19.2"/>
  </r>
  <r>
    <s v="M013"/>
    <s v="V03"/>
    <s v="4/2/2025"/>
    <s v="T03"/>
    <s v="T05"/>
    <s v="T05"/>
    <s v="T03"/>
    <s v="P010"/>
    <n v="198"/>
    <n v="187"/>
    <n v="3"/>
    <n v="8"/>
    <n v="20"/>
    <n v="20"/>
  </r>
  <r>
    <s v="M014"/>
    <s v="V01"/>
    <s v="4/3/2025"/>
    <s v="T01"/>
    <s v="T06"/>
    <s v="T06"/>
    <s v="T01"/>
    <s v="P001"/>
    <n v="188"/>
    <n v="186"/>
    <n v="6"/>
    <n v="8"/>
    <n v="20"/>
    <n v="20"/>
  </r>
  <r>
    <s v="M015"/>
    <s v="V04"/>
    <s v="4/4/2025"/>
    <s v="T04"/>
    <s v="T08"/>
    <s v="T08"/>
    <s v="T08"/>
    <s v="P030"/>
    <n v="169"/>
    <n v="170"/>
    <n v="8"/>
    <n v="4"/>
    <n v="20"/>
    <n v="19.100000000000001"/>
  </r>
  <r>
    <s v="M016"/>
    <s v="V05"/>
    <s v="4/5/2025"/>
    <s v="T05"/>
    <s v="T07"/>
    <s v="T05"/>
    <s v="T07"/>
    <s v="P027"/>
    <n v="155"/>
    <n v="156"/>
    <n v="10"/>
    <n v="6"/>
    <n v="20"/>
    <n v="19.399999999999999"/>
  </r>
  <r>
    <s v="M017"/>
    <s v="V02"/>
    <s v="4/6/2025"/>
    <s v="T02"/>
    <s v="T01"/>
    <s v="T01"/>
    <s v="T02"/>
    <s v="P006"/>
    <n v="180"/>
    <n v="178"/>
    <n v="5"/>
    <n v="8"/>
    <n v="20"/>
    <n v="20"/>
  </r>
  <r>
    <s v="M018"/>
    <s v="V03"/>
    <s v="4/7/2025"/>
    <s v="T03"/>
    <s v="T08"/>
    <s v="T03"/>
    <s v="T03"/>
    <s v="P012"/>
    <n v="194"/>
    <n v="188"/>
    <n v="6"/>
    <n v="7"/>
    <n v="20"/>
    <n v="20"/>
  </r>
  <r>
    <s v="M019"/>
    <s v="V06"/>
    <s v="4/8/2025"/>
    <s v="T06"/>
    <s v="T04"/>
    <s v="T04"/>
    <s v="T06"/>
    <s v="P023"/>
    <n v="172"/>
    <n v="171"/>
    <n v="9"/>
    <n v="10"/>
    <n v="20"/>
    <n v="20"/>
  </r>
  <r>
    <s v="M020"/>
    <s v="V07"/>
    <s v="4/9/2025"/>
    <s v="T07"/>
    <s v="T05"/>
    <s v="T05"/>
    <s v="T05"/>
    <s v="P020"/>
    <n v="166"/>
    <n v="167"/>
    <n v="7"/>
    <n v="5"/>
    <n v="20"/>
    <n v="19.100000000000001"/>
  </r>
  <r>
    <s v="M021"/>
    <s v="V01"/>
    <s v="4/10/2025"/>
    <s v="T01"/>
    <s v="T04"/>
    <s v="T04"/>
    <s v="T01"/>
    <s v="P002"/>
    <n v="175"/>
    <n v="170"/>
    <n v="7"/>
    <n v="9"/>
    <n v="20"/>
    <n v="20"/>
  </r>
  <r>
    <s v="M022"/>
    <s v="V08"/>
    <s v="4/11/2025"/>
    <s v="T08"/>
    <s v="T06"/>
    <s v="T06"/>
    <s v="T08"/>
    <s v="P031"/>
    <n v="159"/>
    <n v="158"/>
    <n v="6"/>
    <n v="7"/>
    <n v="20"/>
    <n v="20"/>
  </r>
  <r>
    <s v="M023"/>
    <s v="V02"/>
    <s v="4/12/2025"/>
    <s v="T02"/>
    <s v="T03"/>
    <s v="T03"/>
    <s v="T03"/>
    <s v="P010"/>
    <n v="183"/>
    <n v="184"/>
    <n v="8"/>
    <n v="6"/>
    <n v="20"/>
    <n v="19.399999999999999"/>
  </r>
  <r>
    <s v="M024"/>
    <s v="V05"/>
    <s v="4/13/2025"/>
    <s v="T05"/>
    <s v="T01"/>
    <s v="T05"/>
    <s v="T01"/>
    <s v="P003"/>
    <n v="168"/>
    <n v="171"/>
    <n v="5"/>
    <n v="4"/>
    <n v="20"/>
    <n v="19.100000000000001"/>
  </r>
  <r>
    <s v="M025"/>
    <s v="V07"/>
    <s v="4/14/2025"/>
    <s v="T07"/>
    <s v="T08"/>
    <s v="T07"/>
    <s v="T08"/>
    <s v="P033"/>
    <n v="186"/>
    <n v="187"/>
    <n v="6"/>
    <n v="5"/>
    <n v="20"/>
    <n v="19.2"/>
  </r>
  <r>
    <s v="M026"/>
    <s v="V04"/>
    <s v="4/15/2025"/>
    <s v="T04"/>
    <s v="T02"/>
    <s v="T02"/>
    <s v="T02"/>
    <s v="P009"/>
    <n v="160"/>
    <n v="161"/>
    <n v="9"/>
    <n v="7"/>
    <n v="20"/>
    <n v="19.5"/>
  </r>
  <r>
    <s v="M027"/>
    <s v="V06"/>
    <s v="4/16/2025"/>
    <s v="T06"/>
    <s v="T03"/>
    <s v="T03"/>
    <s v="T06"/>
    <s v="P022"/>
    <n v="190"/>
    <n v="185"/>
    <n v="5"/>
    <n v="8"/>
    <n v="20"/>
    <n v="20"/>
  </r>
  <r>
    <s v="M028"/>
    <s v="V01"/>
    <s v="4/17/2025"/>
    <s v="T01"/>
    <s v="T05"/>
    <s v="T01"/>
    <s v="T01"/>
    <s v="P004"/>
    <n v="189"/>
    <n v="173"/>
    <n v="3"/>
    <n v="9"/>
    <n v="20"/>
    <n v="20"/>
  </r>
  <r>
    <s v="M029"/>
    <s v="V08"/>
    <s v="4/18/2025"/>
    <s v="T08"/>
    <s v="T07"/>
    <s v="T08"/>
    <s v="T07"/>
    <s v="P028"/>
    <n v="157"/>
    <n v="158"/>
    <n v="7"/>
    <n v="6"/>
    <n v="20"/>
    <n v="19.3"/>
  </r>
  <r>
    <s v="M030"/>
    <s v="V02"/>
    <s v="4/19/2025"/>
    <s v="T02"/>
    <s v="T04"/>
    <s v="T04"/>
    <s v="T04"/>
    <s v="P014"/>
    <n v="179"/>
    <n v="180"/>
    <n v="6"/>
    <n v="5"/>
    <n v="20"/>
    <n v="19.2"/>
  </r>
  <r>
    <s v="M031"/>
    <s v="V03"/>
    <s v="4/20/2025"/>
    <s v="T03"/>
    <s v="T01"/>
    <s v="T01"/>
    <s v="T03"/>
    <s v="P013"/>
    <n v="195"/>
    <n v="190"/>
    <n v="4"/>
    <n v="8"/>
    <n v="20"/>
    <n v="20"/>
  </r>
  <r>
    <s v="M032"/>
    <s v="V05"/>
    <s v="4/21/2025"/>
    <s v="T05"/>
    <s v="T06"/>
    <s v="T06"/>
    <s v="T05"/>
    <s v="P021"/>
    <n v="170"/>
    <n v="169"/>
    <n v="6"/>
    <n v="7"/>
    <n v="20"/>
    <n v="20"/>
  </r>
  <r>
    <s v="M033"/>
    <s v="V07"/>
    <s v="4/22/2025"/>
    <s v="T07"/>
    <s v="T02"/>
    <s v="T07"/>
    <s v="T07"/>
    <s v="P029"/>
    <n v="182"/>
    <n v="175"/>
    <n v="5"/>
    <n v="9"/>
    <n v="20"/>
    <n v="20"/>
  </r>
  <r>
    <s v="M034"/>
    <s v="V04"/>
    <s v="4/23/2025"/>
    <s v="T04"/>
    <s v="T05"/>
    <s v="T05"/>
    <s v="T04"/>
    <s v="P015"/>
    <n v="185"/>
    <n v="178"/>
    <n v="7"/>
    <n v="9"/>
    <n v="20"/>
    <n v="20"/>
  </r>
  <r>
    <s v="M035"/>
    <s v="V08"/>
    <s v="4/24/2025"/>
    <s v="T08"/>
    <s v="T03"/>
    <s v="T08"/>
    <s v="T08"/>
    <s v="P032"/>
    <n v="197"/>
    <n v="196"/>
    <n v="5"/>
    <n v="8"/>
    <n v="20"/>
    <n v="20"/>
  </r>
  <r>
    <s v="M036"/>
    <s v="V01"/>
    <s v="4/25/2025"/>
    <s v="T01"/>
    <s v="T07"/>
    <s v="T07"/>
    <s v="T01"/>
    <s v="P005"/>
    <n v="176"/>
    <n v="172"/>
    <n v="4"/>
    <n v="8"/>
    <n v="20"/>
    <n v="20"/>
  </r>
  <r>
    <s v="M037"/>
    <s v="V06"/>
    <s v="4/26/2025"/>
    <s v="T06"/>
    <s v="T08"/>
    <s v="T08"/>
    <s v="T06"/>
    <s v="P024"/>
    <n v="153"/>
    <n v="150"/>
    <n v="8"/>
    <n v="10"/>
    <n v="20"/>
    <n v="19.3"/>
  </r>
  <r>
    <s v="M038"/>
    <s v="V02"/>
    <s v="4/27/2025"/>
    <s v="T02"/>
    <s v="T05"/>
    <s v="T05"/>
    <s v="T02"/>
    <s v="P007"/>
    <n v="163"/>
    <n v="158"/>
    <n v="7"/>
    <n v="8"/>
    <n v="20"/>
    <n v="20"/>
  </r>
  <r>
    <s v="M039"/>
    <s v="V03"/>
    <s v="4/28/2025"/>
    <s v="T03"/>
    <s v="T04"/>
    <s v="T04"/>
    <s v="T03"/>
    <s v="P010"/>
    <n v="200"/>
    <n v="195"/>
    <n v="5"/>
    <n v="8"/>
    <n v="20"/>
    <n v="20"/>
  </r>
  <r>
    <s v="M040"/>
    <s v="V07"/>
    <s v="4/29/2025"/>
    <s v="T07"/>
    <s v="T06"/>
    <s v="T07"/>
    <s v="T06"/>
    <s v="P025"/>
    <n v="180"/>
    <n v="181"/>
    <n v="7"/>
    <n v="4"/>
    <n v="20"/>
    <n v="19.399999999999999"/>
  </r>
  <r>
    <s v="M041"/>
    <s v="V08"/>
    <s v="4/30/2025"/>
    <s v="T08"/>
    <s v="T01"/>
    <s v="T01"/>
    <s v="T08"/>
    <s v="P030"/>
    <n v="174"/>
    <n v="173"/>
    <n v="6"/>
    <n v="7"/>
    <n v="20"/>
    <n v="20"/>
  </r>
  <r>
    <s v="M042"/>
    <s v="V05"/>
    <s v="5/1/2025"/>
    <s v="T05"/>
    <s v="T02"/>
    <s v="T02"/>
    <s v="T05"/>
    <s v="P018"/>
    <n v="187"/>
    <n v="175"/>
    <n v="4"/>
    <n v="9"/>
    <n v="20"/>
    <n v="20"/>
  </r>
  <r>
    <s v="M043"/>
    <s v="V01"/>
    <s v="5/2/2025"/>
    <s v="T01"/>
    <s v="T03"/>
    <s v="T03"/>
    <s v="T03"/>
    <s v="P011"/>
    <n v="162"/>
    <n v="165"/>
    <n v="9"/>
    <n v="5"/>
    <n v="20"/>
    <n v="19.2"/>
  </r>
  <r>
    <s v="M044"/>
    <s v="V04"/>
    <s v="5/3/2025"/>
    <s v="T04"/>
    <s v="T06"/>
    <s v="T06"/>
    <s v="T04"/>
    <s v="P014"/>
    <n v="196"/>
    <n v="188"/>
    <n v="3"/>
    <n v="8"/>
    <n v="20"/>
    <n v="20"/>
  </r>
  <r>
    <s v="M045"/>
    <s v="V08"/>
    <s v="5/4/2025"/>
    <s v="T08"/>
    <s v="T05"/>
    <s v="T05"/>
    <s v="T08"/>
    <s v="P033"/>
    <n v="184"/>
    <n v="183"/>
    <n v="7"/>
    <n v="9"/>
    <n v="20"/>
    <n v="20"/>
  </r>
  <r>
    <s v="M046"/>
    <s v="V02"/>
    <s v="5/5/2025"/>
    <s v="T02"/>
    <s v="T06"/>
    <s v="T06"/>
    <s v="T02"/>
    <s v="P006"/>
    <n v="192"/>
    <n v="174"/>
    <n v="4"/>
    <n v="8"/>
    <n v="20"/>
    <n v="20"/>
  </r>
  <r>
    <s v="M047"/>
    <s v="V07"/>
    <s v="5/6/2025"/>
    <s v="T07"/>
    <s v="T04"/>
    <s v="T07"/>
    <s v="T04"/>
    <s v="P015"/>
    <n v="208"/>
    <n v="198"/>
    <n v="6"/>
    <n v="7"/>
    <n v="20"/>
    <n v="20"/>
  </r>
  <r>
    <s v="M048"/>
    <s v="V03"/>
    <s v="5/7/2025"/>
    <s v="T03"/>
    <s v="T01"/>
    <s v="T01"/>
    <s v="T06"/>
    <s v="P022"/>
    <n v="193"/>
    <n v="165"/>
    <n v="5"/>
    <n v="10"/>
    <n v="20"/>
    <n v="17.2"/>
  </r>
  <r>
    <s v="M049"/>
    <s v="V05"/>
    <s v="5/8/2025"/>
    <s v="T05"/>
    <s v="T03"/>
    <s v="T03"/>
    <s v="T06"/>
    <s v="P025"/>
    <n v="181"/>
    <n v="185"/>
    <n v="5"/>
    <n v="4"/>
    <n v="20"/>
    <n v="19.3"/>
  </r>
  <r>
    <s v="M050"/>
    <s v="V06"/>
    <s v="5/9/2025"/>
    <s v="T06"/>
    <s v="T02"/>
    <s v="T05"/>
    <s v="T04"/>
    <s v="P016"/>
    <n v="164"/>
    <n v="165"/>
    <n v="8"/>
    <n v="3"/>
    <n v="20"/>
    <n v="18.399999999999999"/>
  </r>
  <r>
    <s v="M051"/>
    <s v="V01"/>
    <s v="5/10/2025"/>
    <s v="T01"/>
    <s v="T02"/>
    <s v="T07"/>
    <s v="T02"/>
    <s v="P007"/>
    <n v="178"/>
    <n v="169"/>
    <n v="6"/>
    <n v="9"/>
    <n v="20"/>
    <n v="20"/>
  </r>
  <r>
    <s v="M052"/>
    <s v="V04"/>
    <s v="5/11/2025"/>
    <s v="T04"/>
    <s v="T08"/>
    <s v="T01"/>
    <s v="T08"/>
    <s v="P032"/>
    <n v="154"/>
    <n v="155"/>
    <n v="10"/>
    <n v="3"/>
    <n v="20"/>
    <n v="17"/>
  </r>
  <r>
    <s v="M053"/>
    <s v="V08"/>
    <s v="5/12/2025"/>
    <s v="T08"/>
    <s v="T03"/>
    <s v="T03"/>
    <s v="T04"/>
    <s v="P017"/>
    <n v="171"/>
    <n v="156"/>
    <n v="5"/>
    <n v="9"/>
    <n v="20"/>
    <n v="18.3"/>
  </r>
  <r>
    <s v="M054"/>
    <s v="V07"/>
    <s v="5/13/2025"/>
    <s v="T07"/>
    <s v="T05"/>
    <s v="T05"/>
    <s v="T05"/>
    <s v="P019"/>
    <n v="149"/>
    <n v="150"/>
    <n v="9"/>
    <n v="4"/>
    <n v="20"/>
    <n v="18.100000000000001"/>
  </r>
  <r>
    <s v="M055"/>
    <s v="V03"/>
    <s v="5/14/2025"/>
    <s v="T03"/>
    <s v="T06"/>
    <s v="T01"/>
    <s v="T07"/>
    <s v="P026"/>
    <n v="177"/>
    <n v="152"/>
    <n v="7"/>
    <n v="8"/>
    <n v="20"/>
    <n v="18.399999999999999"/>
  </r>
  <r>
    <s v="M056"/>
    <s v="V01"/>
    <s v="5/15/2025"/>
    <s v="T01"/>
    <s v="T04"/>
    <s v="T02"/>
    <s v="T02"/>
    <s v="P008"/>
    <n v="161"/>
    <n v="162"/>
    <n v="8"/>
    <n v="6"/>
    <n v="20"/>
    <n v="19.2"/>
  </r>
  <r>
    <s v="M057"/>
    <s v="V02"/>
    <s v="5/16/2025"/>
    <s v="T02"/>
    <s v="T08"/>
    <s v="T05"/>
    <s v="T03"/>
    <s v="P010"/>
    <n v="198"/>
    <n v="187"/>
    <n v="3"/>
    <n v="8"/>
    <n v="20"/>
    <n v="20"/>
  </r>
  <r>
    <s v="M058"/>
    <s v="V05"/>
    <s v="5/17/2025"/>
    <s v="T05"/>
    <s v="T06"/>
    <s v="T06"/>
    <s v="T01"/>
    <s v="P001"/>
    <n v="188"/>
    <n v="186"/>
    <n v="6"/>
    <n v="8"/>
    <n v="20"/>
    <n v="20"/>
  </r>
  <r>
    <s v="M059"/>
    <s v="V04"/>
    <s v="5/18/2025"/>
    <s v="T04"/>
    <s v="T07"/>
    <s v="T08"/>
    <s v="T08"/>
    <s v="P030"/>
    <n v="169"/>
    <n v="170"/>
    <n v="8"/>
    <n v="4"/>
    <n v="20"/>
    <n v="19.100000000000001"/>
  </r>
  <r>
    <s v="M060"/>
    <s v="V06"/>
    <s v="5/19/2025"/>
    <s v="T06"/>
    <s v="T01"/>
    <s v="T05"/>
    <s v="T07"/>
    <s v="P027"/>
    <n v="155"/>
    <n v="156"/>
    <n v="10"/>
    <n v="6"/>
    <n v="20"/>
    <n v="19.3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71A015-EA38-4F71-B88F-21337745A77B}" name="PivotTable2" cacheId="2600" applyNumberFormats="0" applyBorderFormats="0" applyFontFormats="0" applyPatternFormats="0" applyAlignmentFormats="0" applyWidthHeightFormats="1" dataCaption="Values" tag="18d0e150-34af-4664-982b-33e17e1e06e0" updatedVersion="7" minRefreshableVersion="3" useAutoFormatting="1" subtotalHiddenItems="1" itemPrintTitles="1" createdVersion="7" indent="0" outline="1" outlineData="1" multipleFieldFilters="0" rowHeaderCaption="Team Name ">
  <location ref="A3:E13" firstHeaderRow="0" firstDataRow="1" firstDataCol="1"/>
  <pivotFields count="7">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Count of Match_ID" fld="1" subtotal="count" baseField="0" baseItem="0"/>
    <dataField fld="2" subtotal="count" baseField="0" baseItem="0"/>
    <dataField fld="3" subtotal="count" baseField="0" baseItem="0"/>
    <dataField fld="4" subtotal="count" baseField="0" baseItem="0"/>
  </dataFields>
  <formats count="3">
    <format dxfId="3">
      <pivotArea dataOnly="0" labelOnly="1" outline="0" fieldPosition="0">
        <references count="1">
          <reference field="4294967294" count="1">
            <x v="3"/>
          </reference>
        </references>
      </pivotArea>
    </format>
    <format dxfId="4">
      <pivotArea collapsedLevelsAreSubtotals="1" fieldPosition="0">
        <references count="2">
          <reference field="4294967294" count="1" selected="0">
            <x v="3"/>
          </reference>
          <reference field="0" count="0"/>
        </references>
      </pivotArea>
    </format>
    <format dxfId="5">
      <pivotArea collapsedLevelsAreSubtotals="1" fieldPosition="0">
        <references count="2">
          <reference field="4294967294" count="1" selected="0">
            <x v="3"/>
          </reference>
          <reference field="0" count="8">
            <x v="0"/>
            <x v="1"/>
            <x v="2"/>
            <x v="3"/>
            <x v="4"/>
            <x v="5"/>
            <x v="6"/>
            <x v="7"/>
          </reference>
        </references>
      </pivotArea>
    </format>
  </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fact_match].[Va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4F7E1E-8CB6-4DB0-BC9B-966D36FFF166}" name="PivotTable7" cacheId="2612" applyNumberFormats="0" applyBorderFormats="0" applyFontFormats="0" applyPatternFormats="0" applyAlignmentFormats="0" applyWidthHeightFormats="1" dataCaption="Values" tag="572c2c7a-e8f1-4289-8f92-637874c4f05f" updatedVersion="7" minRefreshableVersion="3" useAutoFormatting="1" subtotalHiddenItems="1" itemPrintTitles="1" createdVersion="7" indent="0" outline="1" outlineData="1" multipleFieldFilters="0" chartFormat="4" rowHeaderCaption="Team Name ">
  <location ref="AC3:AD5" firstHeaderRow="1" firstDataRow="1" firstDataCol="1"/>
  <pivotFields count="3">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Team_I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91C403-3871-483A-87ED-B5E6D0AD8C59}" name="PivotTable6" cacheId="2609" applyNumberFormats="0" applyBorderFormats="0" applyFontFormats="0" applyPatternFormats="0" applyAlignmentFormats="0" applyWidthHeightFormats="1" dataCaption="Values" tag="ebca1cb4-31dd-4c58-b1d4-92041673cb1e" updatedVersion="7" minRefreshableVersion="3" useAutoFormatting="1" subtotalHiddenItems="1" itemPrintTitles="1" createdVersion="7" indent="0" outline="1" outlineData="1" multipleFieldFilters="0" chartFormat="6" rowHeaderCaption="Team Name ">
  <location ref="T4:U7"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fact_match].[Va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4DDA40-E80F-40E8-8659-A16C620D6741}" name="PivotTable4" cacheId="2606" applyNumberFormats="0" applyBorderFormats="0" applyFontFormats="0" applyPatternFormats="0" applyAlignmentFormats="0" applyWidthHeightFormats="1" dataCaption="Values" tag="c2f410bd-1e3d-4871-b669-928153c6d62a" updatedVersion="7" minRefreshableVersion="3" useAutoFormatting="1" subtotalHiddenItems="1" itemPrintTitles="1" createdVersion="7" indent="0" outline="1" outlineData="1" multipleFieldFilters="0" chartFormat="3" rowHeaderCaption="Team Name ">
  <location ref="L4:M13" firstHeaderRow="1" firstDataRow="1" firstDataCol="1"/>
  <pivotFields count="4">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fact_match].[Va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8B2BDB-12D1-4C98-B620-9268B832105F}" name="PivotTable3" cacheId="2603" applyNumberFormats="0" applyBorderFormats="0" applyFontFormats="0" applyPatternFormats="0" applyAlignmentFormats="0" applyWidthHeightFormats="1" dataCaption="Values" tag="2fa1586e-1a0c-4d1f-b186-87c8efd103d1" updatedVersion="7" minRefreshableVersion="3" useAutoFormatting="1" subtotalHiddenItems="1" itemPrintTitles="1" createdVersion="7" indent="0" outline="1" outlineData="1" multipleFieldFilters="0" chartFormat="5" rowHeaderCaption="Team Name ">
  <location ref="A20:B30"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formats count="3">
    <format dxfId="0">
      <pivotArea dataOnly="0" labelOnly="1" outline="0" fieldPosition="0">
        <references count="1">
          <reference field="4294967294" count="1">
            <x v="0"/>
          </reference>
        </references>
      </pivotArea>
    </format>
    <format dxfId="1">
      <pivotArea collapsedLevelsAreSubtotals="1" fieldPosition="0">
        <references count="2">
          <reference field="4294967294" count="1" selected="0">
            <x v="0"/>
          </reference>
          <reference field="0" count="0"/>
        </references>
      </pivotArea>
    </format>
    <format dxfId="2">
      <pivotArea collapsedLevelsAreSubtotals="1" fieldPosition="0">
        <references count="2">
          <reference field="4294967294" count="1" selected="0">
            <x v="0"/>
          </reference>
          <reference field="0" count="8">
            <x v="0"/>
            <x v="1"/>
            <x v="2"/>
            <x v="3"/>
            <x v="4"/>
            <x v="5"/>
            <x v="6"/>
            <x v="7"/>
          </reference>
        </references>
      </pivotArea>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fact_match].[Vanue_Name].&amp;[M. A. Chidambaram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DEB3A-377D-468E-9F9C-C723499C8F9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0" firstHeaderRow="1" firstDataRow="1" firstDataCol="0"/>
  <pivotFields count="1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31FDCD-43B4-4350-9944-B554E5592FD2}" name="PivotTable6" cacheId="184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S1:T8" firstHeaderRow="1" firstDataRow="1" firstDataCol="1"/>
  <pivotFields count="5">
    <pivotField axis="axisRow" allDrilled="1" subtotalTop="0" showAll="0" dataSourceSort="1" defaultSubtotal="0" defaultAttributeDrillState="1">
      <items count="33">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s>
    </pivotField>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3">
    <field x="0"/>
    <field x="1"/>
    <field x="2"/>
  </rowFields>
  <rowItems count="7">
    <i>
      <x/>
    </i>
    <i>
      <x v="1"/>
    </i>
    <i>
      <x v="2"/>
    </i>
    <i>
      <x v="3"/>
    </i>
    <i>
      <x v="4"/>
    </i>
    <i>
      <x v="5"/>
    </i>
    <i t="grand">
      <x/>
    </i>
  </rowItems>
  <colItems count="1">
    <i/>
  </colItems>
  <dataFields count="1">
    <dataField name="Sum of Economy" fld="3" baseField="0" baseItem="0"/>
  </dataFields>
  <chartFormats count="35">
    <chartFormat chart="0" format="0" series="1">
      <pivotArea type="data" outline="0" fieldPosition="0">
        <references count="1">
          <reference field="4294967294" count="1" selected="0">
            <x v="0"/>
          </reference>
        </references>
      </pivotArea>
    </chartFormat>
    <chartFormat chart="3" format="35" series="1">
      <pivotArea type="data" outline="0" fieldPosition="0">
        <references count="1">
          <reference field="4294967294" count="1" selected="0">
            <x v="0"/>
          </reference>
        </references>
      </pivotArea>
    </chartFormat>
    <chartFormat chart="3" format="36">
      <pivotArea type="data" outline="0" fieldPosition="0">
        <references count="2">
          <reference field="4294967294" count="1" selected="0">
            <x v="0"/>
          </reference>
          <reference field="0" count="1" selected="0">
            <x v="20"/>
          </reference>
        </references>
      </pivotArea>
    </chartFormat>
    <chartFormat chart="3" format="37">
      <pivotArea type="data" outline="0" fieldPosition="0">
        <references count="2">
          <reference field="4294967294" count="1" selected="0">
            <x v="0"/>
          </reference>
          <reference field="0" count="1" selected="0">
            <x v="14"/>
          </reference>
        </references>
      </pivotArea>
    </chartFormat>
    <chartFormat chart="3" format="38">
      <pivotArea type="data" outline="0" fieldPosition="0">
        <references count="2">
          <reference field="4294967294" count="1" selected="0">
            <x v="0"/>
          </reference>
          <reference field="0" count="1" selected="0">
            <x v="0"/>
          </reference>
        </references>
      </pivotArea>
    </chartFormat>
    <chartFormat chart="3" format="39">
      <pivotArea type="data" outline="0" fieldPosition="0">
        <references count="2">
          <reference field="4294967294" count="1" selected="0">
            <x v="0"/>
          </reference>
          <reference field="0" count="1" selected="0">
            <x v="24"/>
          </reference>
        </references>
      </pivotArea>
    </chartFormat>
    <chartFormat chart="3" format="40">
      <pivotArea type="data" outline="0" fieldPosition="0">
        <references count="2">
          <reference field="4294967294" count="1" selected="0">
            <x v="0"/>
          </reference>
          <reference field="0" count="1" selected="0">
            <x v="21"/>
          </reference>
        </references>
      </pivotArea>
    </chartFormat>
    <chartFormat chart="3" format="41">
      <pivotArea type="data" outline="0" fieldPosition="0">
        <references count="2">
          <reference field="4294967294" count="1" selected="0">
            <x v="0"/>
          </reference>
          <reference field="0" count="1" selected="0">
            <x v="6"/>
          </reference>
        </references>
      </pivotArea>
    </chartFormat>
    <chartFormat chart="3" format="42">
      <pivotArea type="data" outline="0" fieldPosition="0">
        <references count="2">
          <reference field="4294967294" count="1" selected="0">
            <x v="0"/>
          </reference>
          <reference field="0" count="1" selected="0">
            <x v="25"/>
          </reference>
        </references>
      </pivotArea>
    </chartFormat>
    <chartFormat chart="3" format="43">
      <pivotArea type="data" outline="0" fieldPosition="0">
        <references count="2">
          <reference field="4294967294" count="1" selected="0">
            <x v="0"/>
          </reference>
          <reference field="0" count="1" selected="0">
            <x v="7"/>
          </reference>
        </references>
      </pivotArea>
    </chartFormat>
    <chartFormat chart="3" format="44">
      <pivotArea type="data" outline="0" fieldPosition="0">
        <references count="2">
          <reference field="4294967294" count="1" selected="0">
            <x v="0"/>
          </reference>
          <reference field="0" count="1" selected="0">
            <x v="27"/>
          </reference>
        </references>
      </pivotArea>
    </chartFormat>
    <chartFormat chart="3" format="45">
      <pivotArea type="data" outline="0" fieldPosition="0">
        <references count="2">
          <reference field="4294967294" count="1" selected="0">
            <x v="0"/>
          </reference>
          <reference field="0" count="1" selected="0">
            <x v="28"/>
          </reference>
        </references>
      </pivotArea>
    </chartFormat>
    <chartFormat chart="3" format="46">
      <pivotArea type="data" outline="0" fieldPosition="0">
        <references count="2">
          <reference field="4294967294" count="1" selected="0">
            <x v="0"/>
          </reference>
          <reference field="0" count="1" selected="0">
            <x v="8"/>
          </reference>
        </references>
      </pivotArea>
    </chartFormat>
    <chartFormat chart="3" format="47">
      <pivotArea type="data" outline="0" fieldPosition="0">
        <references count="2">
          <reference field="4294967294" count="1" selected="0">
            <x v="0"/>
          </reference>
          <reference field="0" count="1" selected="0">
            <x v="9"/>
          </reference>
        </references>
      </pivotArea>
    </chartFormat>
    <chartFormat chart="3" format="48">
      <pivotArea type="data" outline="0" fieldPosition="0">
        <references count="2">
          <reference field="4294967294" count="1" selected="0">
            <x v="0"/>
          </reference>
          <reference field="0" count="1" selected="0">
            <x v="26"/>
          </reference>
        </references>
      </pivotArea>
    </chartFormat>
    <chartFormat chart="3" format="49">
      <pivotArea type="data" outline="0" fieldPosition="0">
        <references count="2">
          <reference field="4294967294" count="1" selected="0">
            <x v="0"/>
          </reference>
          <reference field="0" count="1" selected="0">
            <x v="10"/>
          </reference>
        </references>
      </pivotArea>
    </chartFormat>
    <chartFormat chart="3" format="50">
      <pivotArea type="data" outline="0" fieldPosition="0">
        <references count="2">
          <reference field="4294967294" count="1" selected="0">
            <x v="0"/>
          </reference>
          <reference field="0" count="1" selected="0">
            <x v="22"/>
          </reference>
        </references>
      </pivotArea>
    </chartFormat>
    <chartFormat chart="3" format="51">
      <pivotArea type="data" outline="0" fieldPosition="0">
        <references count="2">
          <reference field="4294967294" count="1" selected="0">
            <x v="0"/>
          </reference>
          <reference field="0" count="1" selected="0">
            <x v="1"/>
          </reference>
        </references>
      </pivotArea>
    </chartFormat>
    <chartFormat chart="3" format="52">
      <pivotArea type="data" outline="0" fieldPosition="0">
        <references count="2">
          <reference field="4294967294" count="1" selected="0">
            <x v="0"/>
          </reference>
          <reference field="0" count="1" selected="0">
            <x v="15"/>
          </reference>
        </references>
      </pivotArea>
    </chartFormat>
    <chartFormat chart="3" format="53">
      <pivotArea type="data" outline="0" fieldPosition="0">
        <references count="2">
          <reference field="4294967294" count="1" selected="0">
            <x v="0"/>
          </reference>
          <reference field="0" count="1" selected="0">
            <x v="2"/>
          </reference>
        </references>
      </pivotArea>
    </chartFormat>
    <chartFormat chart="3" format="54">
      <pivotArea type="data" outline="0" fieldPosition="0">
        <references count="2">
          <reference field="4294967294" count="1" selected="0">
            <x v="0"/>
          </reference>
          <reference field="0" count="1" selected="0">
            <x v="16"/>
          </reference>
        </references>
      </pivotArea>
    </chartFormat>
    <chartFormat chart="3" format="55">
      <pivotArea type="data" outline="0" fieldPosition="0">
        <references count="2">
          <reference field="4294967294" count="1" selected="0">
            <x v="0"/>
          </reference>
          <reference field="0" count="1" selected="0">
            <x v="29"/>
          </reference>
        </references>
      </pivotArea>
    </chartFormat>
    <chartFormat chart="3" format="56">
      <pivotArea type="data" outline="0" fieldPosition="0">
        <references count="2">
          <reference field="4294967294" count="1" selected="0">
            <x v="0"/>
          </reference>
          <reference field="0" count="1" selected="0">
            <x v="17"/>
          </reference>
        </references>
      </pivotArea>
    </chartFormat>
    <chartFormat chart="3" format="57">
      <pivotArea type="data" outline="0" fieldPosition="0">
        <references count="2">
          <reference field="4294967294" count="1" selected="0">
            <x v="0"/>
          </reference>
          <reference field="0" count="1" selected="0">
            <x v="11"/>
          </reference>
        </references>
      </pivotArea>
    </chartFormat>
    <chartFormat chart="3" format="58">
      <pivotArea type="data" outline="0" fieldPosition="0">
        <references count="2">
          <reference field="4294967294" count="1" selected="0">
            <x v="0"/>
          </reference>
          <reference field="0" count="1" selected="0">
            <x v="30"/>
          </reference>
        </references>
      </pivotArea>
    </chartFormat>
    <chartFormat chart="3" format="59">
      <pivotArea type="data" outline="0" fieldPosition="0">
        <references count="2">
          <reference field="4294967294" count="1" selected="0">
            <x v="0"/>
          </reference>
          <reference field="0" count="1" selected="0">
            <x v="31"/>
          </reference>
        </references>
      </pivotArea>
    </chartFormat>
    <chartFormat chart="3" format="60">
      <pivotArea type="data" outline="0" fieldPosition="0">
        <references count="2">
          <reference field="4294967294" count="1" selected="0">
            <x v="0"/>
          </reference>
          <reference field="0" count="1" selected="0">
            <x v="3"/>
          </reference>
        </references>
      </pivotArea>
    </chartFormat>
    <chartFormat chart="3" format="61">
      <pivotArea type="data" outline="0" fieldPosition="0">
        <references count="2">
          <reference field="4294967294" count="1" selected="0">
            <x v="0"/>
          </reference>
          <reference field="0" count="1" selected="0">
            <x v="12"/>
          </reference>
        </references>
      </pivotArea>
    </chartFormat>
    <chartFormat chart="3" format="62">
      <pivotArea type="data" outline="0" fieldPosition="0">
        <references count="2">
          <reference field="4294967294" count="1" selected="0">
            <x v="0"/>
          </reference>
          <reference field="0" count="1" selected="0">
            <x v="13"/>
          </reference>
        </references>
      </pivotArea>
    </chartFormat>
    <chartFormat chart="3" format="63">
      <pivotArea type="data" outline="0" fieldPosition="0">
        <references count="2">
          <reference field="4294967294" count="1" selected="0">
            <x v="0"/>
          </reference>
          <reference field="0" count="1" selected="0">
            <x v="18"/>
          </reference>
        </references>
      </pivotArea>
    </chartFormat>
    <chartFormat chart="3" format="64">
      <pivotArea type="data" outline="0" fieldPosition="0">
        <references count="2">
          <reference field="4294967294" count="1" selected="0">
            <x v="0"/>
          </reference>
          <reference field="0" count="1" selected="0">
            <x v="4"/>
          </reference>
        </references>
      </pivotArea>
    </chartFormat>
    <chartFormat chart="3" format="65">
      <pivotArea type="data" outline="0" fieldPosition="0">
        <references count="2">
          <reference field="4294967294" count="1" selected="0">
            <x v="0"/>
          </reference>
          <reference field="0" count="1" selected="0">
            <x v="23"/>
          </reference>
        </references>
      </pivotArea>
    </chartFormat>
    <chartFormat chart="3" format="66">
      <pivotArea type="data" outline="0" fieldPosition="0">
        <references count="2">
          <reference field="4294967294" count="1" selected="0">
            <x v="0"/>
          </reference>
          <reference field="0" count="1" selected="0">
            <x v="32"/>
          </reference>
        </references>
      </pivotArea>
    </chartFormat>
    <chartFormat chart="3" format="67">
      <pivotArea type="data" outline="0" fieldPosition="0">
        <references count="2">
          <reference field="4294967294" count="1" selected="0">
            <x v="0"/>
          </reference>
          <reference field="0" count="1" selected="0">
            <x v="19"/>
          </reference>
        </references>
      </pivotArea>
    </chartFormat>
    <chartFormat chart="3" format="68">
      <pivotArea type="data" outline="0" fieldPosition="0">
        <references count="2">
          <reference field="4294967294" count="1" selected="0">
            <x v="0"/>
          </reference>
          <reference field="0" count="1" selected="0">
            <x v="5"/>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venue].[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
    <pivotHierarchy dragToData="1" caption="Balls_Faced"/>
    <pivotHierarchy dragToData="1" caption="Runs_Conceded"/>
    <pivotHierarchy dragToData="1"/>
    <pivotHierarchy dragToData="1"/>
    <pivotHierarchy dragToData="1"/>
    <pivotHierarchy dragToData="1"/>
    <pivotHierarchy dragToData="1" caption="Wickets"/>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290569-E41A-4962-812F-5336BDCDC69A}" name="PivotTable5" cacheId="184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I37:K56" firstHeaderRow="0" firstDataRow="1" firstDataCol="1"/>
  <pivotFields count="6">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19">
    <i>
      <x/>
    </i>
    <i r="1">
      <x/>
    </i>
    <i r="2">
      <x/>
    </i>
    <i>
      <x v="1"/>
    </i>
    <i r="1">
      <x/>
    </i>
    <i r="2">
      <x v="1"/>
    </i>
    <i>
      <x v="2"/>
    </i>
    <i r="1">
      <x/>
    </i>
    <i r="2">
      <x/>
    </i>
    <i>
      <x v="3"/>
    </i>
    <i r="1">
      <x/>
    </i>
    <i r="2">
      <x v="2"/>
    </i>
    <i>
      <x v="4"/>
    </i>
    <i r="1">
      <x/>
    </i>
    <i r="2">
      <x/>
    </i>
    <i>
      <x v="5"/>
    </i>
    <i r="1">
      <x/>
    </i>
    <i r="2">
      <x/>
    </i>
    <i t="grand">
      <x/>
    </i>
  </rowItems>
  <colFields count="1">
    <field x="-2"/>
  </colFields>
  <colItems count="2">
    <i>
      <x/>
    </i>
    <i i="1">
      <x v="1"/>
    </i>
  </colItems>
  <dataFields count="2">
    <dataField name="Sum of Strike_Rate" fld="3" baseField="0" baseItem="0"/>
    <dataField fld="4"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venue].[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
    <pivotHierarchy dragToData="1" caption="Balls_Faced"/>
    <pivotHierarchy dragToData="1" caption="Runs_Conceded"/>
    <pivotHierarchy dragToData="1"/>
    <pivotHierarchy dragToData="1"/>
    <pivotHierarchy dragToData="1"/>
    <pivotHierarchy dragToData="1"/>
    <pivotHierarchy dragToData="1" caption="Wickets"/>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D11D76-6565-40FF-908C-0AC0FBB8C8CB}" name="PivotTable4" cacheId="184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6">
  <location ref="A37:B56" firstHeaderRow="1" firstDataRow="1" firstDataCol="1"/>
  <pivotFields count="5">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3">
    <field x="0"/>
    <field x="1"/>
    <field x="2"/>
  </rowFields>
  <rowItems count="19">
    <i>
      <x/>
    </i>
    <i r="1">
      <x/>
    </i>
    <i r="2">
      <x/>
    </i>
    <i>
      <x v="1"/>
    </i>
    <i r="1">
      <x/>
    </i>
    <i r="2">
      <x v="1"/>
    </i>
    <i>
      <x v="2"/>
    </i>
    <i r="1">
      <x/>
    </i>
    <i r="2">
      <x/>
    </i>
    <i>
      <x v="3"/>
    </i>
    <i r="1">
      <x/>
    </i>
    <i r="2">
      <x v="2"/>
    </i>
    <i>
      <x v="4"/>
    </i>
    <i r="1">
      <x/>
    </i>
    <i r="2">
      <x/>
    </i>
    <i>
      <x v="5"/>
    </i>
    <i r="1">
      <x/>
    </i>
    <i r="2">
      <x/>
    </i>
    <i t="grand">
      <x/>
    </i>
  </rowItems>
  <colItems count="1">
    <i/>
  </colItems>
  <dataFields count="1">
    <dataField name="Wicket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venue].[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
    <pivotHierarchy dragToData="1" caption="Balls_Faced"/>
    <pivotHierarchy dragToData="1" caption="Runs_Conceded"/>
    <pivotHierarchy dragToData="1"/>
    <pivotHierarchy dragToData="1"/>
    <pivotHierarchy dragToData="1"/>
    <pivotHierarchy dragToData="1"/>
    <pivotHierarchy dragToData="1" caption="Wickets"/>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D6A1E6-C690-4E62-B377-DE75419B1959}" name="PivotTable1" cacheId="183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G20" firstHeaderRow="0" firstDataRow="1" firstDataCol="1"/>
  <pivotFields count="1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3">
    <field x="0"/>
    <field x="1"/>
    <field x="2"/>
  </rowFields>
  <rowItems count="19">
    <i>
      <x/>
    </i>
    <i r="1">
      <x/>
    </i>
    <i r="2">
      <x/>
    </i>
    <i>
      <x v="1"/>
    </i>
    <i r="1">
      <x/>
    </i>
    <i r="2">
      <x v="1"/>
    </i>
    <i>
      <x v="2"/>
    </i>
    <i r="1">
      <x/>
    </i>
    <i r="2">
      <x/>
    </i>
    <i>
      <x v="3"/>
    </i>
    <i r="1">
      <x/>
    </i>
    <i r="2">
      <x v="2"/>
    </i>
    <i>
      <x v="4"/>
    </i>
    <i r="1">
      <x/>
    </i>
    <i r="2">
      <x/>
    </i>
    <i>
      <x v="5"/>
    </i>
    <i r="1">
      <x/>
    </i>
    <i r="2">
      <x/>
    </i>
    <i t="grand">
      <x/>
    </i>
  </rowItems>
  <colFields count="1">
    <field x="-2"/>
  </colFields>
  <colItems count="6">
    <i>
      <x/>
    </i>
    <i i="1">
      <x v="1"/>
    </i>
    <i i="2">
      <x v="2"/>
    </i>
    <i i="3">
      <x v="3"/>
    </i>
    <i i="4">
      <x v="4"/>
    </i>
    <i i="5">
      <x v="5"/>
    </i>
  </colItems>
  <dataFields count="6">
    <dataField name="Runs_Conceded" fld="6" baseField="0" baseItem="0"/>
    <dataField name="Wickets" fld="5" baseField="0" baseItem="0"/>
    <dataField name="Balls_Faced" fld="4" baseField="0" baseItem="0"/>
    <dataField name="Total Runs " fld="3" baseField="0" baseItem="0"/>
    <dataField name="Sum of Strike_Rate" fld="7" baseField="0" baseItem="0"/>
    <dataField name="Sum of Economy" fld="8"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_venue].[Venue_Name].&amp;[Sawai Mansingh Stadi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uns "/>
    <pivotHierarchy dragToData="1" caption="Balls_Faced"/>
    <pivotHierarchy dragToData="1" caption="Runs_Conceded"/>
    <pivotHierarchy dragToData="1"/>
    <pivotHierarchy dragToData="1"/>
    <pivotHierarchy dragToData="1"/>
    <pivotHierarchy dragToData="1"/>
    <pivotHierarchy dragToData="1" caption="Wickets"/>
  </pivotHierarchies>
  <pivotTableStyleInfo name="PivotStyleLight16" showRowHeaders="1" showColHeaders="1" showRowStripes="0" showColStripes="0" showLastColumn="1"/>
  <rowHierarchiesUsage count="3">
    <rowHierarchyUsage hierarchyUsage="1"/>
    <rowHierarchyUsage hierarchyUsage="9"/>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dim_team]"/>
        <x15:activeTabTopLevelEntity name="[fact_play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6" xr16:uid="{9BA55E87-A77E-43F1-9F3F-55672F4983BD}" autoFormatId="16" applyNumberFormats="0" applyBorderFormats="0" applyFontFormats="0" applyPatternFormats="0" applyAlignmentFormats="0" applyWidthHeightFormats="0">
  <queryTableRefresh nextId="12">
    <queryTableFields count="11">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BB2FAD95-25AD-40B8-9A70-E6ED1E0B73B5}" autoFormatId="16" applyNumberFormats="0" applyBorderFormats="0" applyFontFormats="0" applyPatternFormats="0" applyAlignmentFormats="0" applyWidthHeightFormats="0">
  <queryTableRefresh nextId="16">
    <queryTableFields count="14">
      <queryTableField id="1" name="Match_ID" tableColumnId="1"/>
      <queryTableField id="3" name="Venue_ID" tableColumnId="3"/>
      <queryTableField id="2" name="Date" tableColumnId="2"/>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8266A465-8ADE-47AB-A2C4-E5A605D14C3F}"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1BBB71D9-31AF-40AB-AD69-CA0D331366CB}" autoFormatId="16" applyNumberFormats="0" applyBorderFormats="0" applyFontFormats="0" applyPatternFormats="0" applyAlignmentFormats="0" applyWidthHeightFormats="0">
  <queryTableRefresh nextId="15">
    <queryTableFields count="7">
      <queryTableField id="8" name="Team_ID" tableColumnId="8"/>
      <queryTableField id="9" name="Team_Name" tableColumnId="9"/>
      <queryTableField id="10" name="Captain" tableColumnId="10"/>
      <queryTableField id="11" name="Coach" tableColumnId="11"/>
      <queryTableField id="12" name="Home_Ground" tableColumnId="12"/>
      <queryTableField id="13" name="City" tableColumnId="13"/>
      <queryTableField id="14" name="Owner" tableColumnId="1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2" xr16:uid="{DDCA79EC-2758-4DEF-8E81-0822C8F8EBCA}" autoFormatId="16" applyNumberFormats="0" applyBorderFormats="0" applyFontFormats="0" applyPatternFormats="0" applyAlignmentFormats="0" applyWidthHeightFormats="0">
  <queryTableRefresh nextId="9">
    <queryTableFields count="8">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60A41A7-59FA-451C-86C8-7B34B6E3A485}" autoFormatId="16" applyNumberFormats="0" applyBorderFormats="0" applyFontFormats="0" applyPatternFormats="0" applyAlignmentFormats="0" applyWidthHeightFormats="0">
  <queryTableRefresh nextId="12">
    <queryTableFields count="11">
      <queryTableField id="1" name="fact_player[Match_ID]" tableColumnId="1"/>
      <queryTableField id="2" name="fact_player[Player_ID]" tableColumnId="2"/>
      <queryTableField id="3" name="fact_player[Runs]" tableColumnId="3"/>
      <queryTableField id="4" name="fact_player[Balls_Faced]" tableColumnId="4"/>
      <queryTableField id="5" name="fact_player[Fours]" tableColumnId="5"/>
      <queryTableField id="6" name="fact_player[Sixes]" tableColumnId="6"/>
      <queryTableField id="7" name="fact_player[Strike_Rate]" tableColumnId="7"/>
      <queryTableField id="8" name="fact_player[Overs_Bowled]" tableColumnId="8"/>
      <queryTableField id="9" name="fact_player[Runs_Conceded]" tableColumnId="9"/>
      <queryTableField id="10" name="fact_player[Wickets]" tableColumnId="10"/>
      <queryTableField id="11" name="fact_player[Economy]" tableColumnId="11"/>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3F7ED988-0F81-4C47-A4F5-279EFA786F01}" sourceName="[fact_match].[Team_Name]">
  <pivotTables>
    <pivotTable tabId="8" name="PivotTable6"/>
    <pivotTable tabId="8" name="PivotTable2"/>
    <pivotTable tabId="8" name="PivotTable3"/>
    <pivotTable tabId="8" name="PivotTable4"/>
    <pivotTable tabId="8" name="PivotTable7"/>
  </pivotTables>
  <data>
    <olap pivotCacheId="999168850">
      <levels count="2">
        <level uniqueName="[fact_match].[Team_Name].[(All)]" sourceCaption="(All)" count="0"/>
        <level uniqueName="[fact_match].[Team_Name].[Team_Name]" sourceCaption="Team_Name" count="9">
          <ranges>
            <range startItem="0">
              <i n="[fact_match].[Team_Name].&amp;[Chennai Super Kings (CSK)]" c="Chennai Super Kings (CSK)"/>
              <i n="[fact_match].[Team_Name].&amp;[Delhi Capitals (DC)]" c="Delhi Capitals (DC)"/>
              <i n="[fact_match].[Team_Name].&amp;[Kolkata Knight Riders (KKR)]" c="Kolkata Knight Riders (KKR)"/>
              <i n="[fact_match].[Team_Name].&amp;[Mumbai Indians (MI)]" c="Mumbai Indians (MI)"/>
              <i n="[fact_match].[Team_Name].&amp;[Punjab Kings (PBKS)]" c="Punjab Kings (PBKS)"/>
              <i n="[fact_match].[Team_Name].&amp;[Rajasthan Royals (RR)]" c="Rajasthan Royals (RR)"/>
              <i n="[fact_match].[Team_Name].&amp;[Royal Challengers Bengaluru (RCB)]" c="Royal Challengers Bengaluru (RCB)"/>
              <i n="[fact_match].[Team_Name].&amp;[Sunrisers Hyderabad (SRH)]" c="Sunrisers Hyderabad (SRH)"/>
              <i n="[fact_match].[Team_Name].&amp;" c="(blank)"/>
            </range>
          </ranges>
        </level>
      </levels>
      <selections count="1">
        <selection n="[fact_match].[Team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 xr10:uid="{E189CBA0-783B-4DBF-99A4-E457F963D220}" sourceName="[dim_venue].[Venue_Name]">
  <pivotTables>
    <pivotTable tabId="8" name="PivotTable2"/>
    <pivotTable tabId="8" name="PivotTable3"/>
    <pivotTable tabId="8" name="PivotTable4"/>
    <pivotTable tabId="8" name="PivotTable6"/>
    <pivotTable tabId="8" name="PivotTable7"/>
  </pivotTables>
  <data>
    <olap pivotCacheId="999168850">
      <levels count="2">
        <level uniqueName="[dim_venue].[Venue_Name].[(All)]" sourceCaption="(All)" count="0"/>
        <level uniqueName="[dim_venue].[Venue_Name].[Venue_Name]" sourceCaption="Venue_Name" count="11">
          <ranges>
            <range startItem="0">
              <i n="[dim_venue].[Venue_Name].&amp;[Arun Jaitley Stadium]" c="Arun Jaitley Stadium"/>
              <i n="[dim_venue].[Venue_Name].&amp;[Bharat Ratna Shri Atal Bihari Vajpayee Ekana Cricket Stadium]" c="Bharat Ratna Shri Atal Bihari Vajpayee Ekana Cricket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Narendra Modi Stadium]" c="Narendra Modi Stadium"/>
              <i n="[dim_venue].[Venue_Name].&amp;[Rajiv Gandhi Int. Stadium]" c="Rajiv Gandhi Int. Stadium"/>
              <i n="[dim_venue].[Venue_Name].&amp;[Sawai Mansingh Stadium]" c="Sawai Mansingh Stadium"/>
              <i n="[dim_venue].[Venue_Name].&amp;[Wankhede Stadium]" c="Wankhede Stadium"/>
              <i n="[dim_venue].[Venue_Name].&amp;" c="(blank)"/>
            </range>
          </ranges>
        </level>
      </levels>
      <selections count="1">
        <selection n="[dim_venue].[Venue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1" xr10:uid="{F19D971D-A9F3-484D-9BBE-2B0D6A6AAEFB}" sourceName="[dim_venue].[Venue_Name]">
  <pivotTables>
    <pivotTable tabId="1" name="PivotTable1"/>
    <pivotTable tabId="1" name="PivotTable4"/>
    <pivotTable tabId="1" name="PivotTable5"/>
    <pivotTable tabId="1" name="PivotTable6"/>
  </pivotTables>
  <data>
    <olap pivotCacheId="999168850">
      <levels count="2">
        <level uniqueName="[dim_venue].[Venue_Name].[(All)]" sourceCaption="(All)" count="0"/>
        <level uniqueName="[dim_venue].[Venue_Name].[Venue_Name]" sourceCaption="Venue_Name" count="11">
          <ranges>
            <range startItem="0">
              <i n="[dim_venue].[Venue_Name].&amp;[Arun Jaitley Stadium]" c="Arun Jaitley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Rajiv Gandhi Int. Stadium]" c="Rajiv Gandhi Int. Stadium"/>
              <i n="[dim_venue].[Venue_Name].&amp;[Sawai Mansingh Stadium]" c="Sawai Mansingh Stadium"/>
              <i n="[dim_venue].[Venue_Name].&amp;[Wankhede Stadium]" c="Wankhede Stadium"/>
              <i n="[dim_venue].[Venue_Name].&amp;" c="(blank)"/>
              <i n="[dim_venue].[Venue_Name].&amp;[Bharat Ratna Shri Atal Bihari Vajpayee Ekana Cricket Stadium]" c="Bharat Ratna Shri Atal Bihari Vajpayee Ekana Cricket Stadium" nd="1"/>
              <i n="[dim_venue].[Venue_Name].&amp;[Narendra Modi Stadium]" c="Narendra Modi Stadium" nd="1"/>
            </range>
          </ranges>
        </level>
      </levels>
      <selections count="1">
        <selection n="[dim_venue].[Venue_Name].&amp;[Sawai Mansingh Stadium]"/>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0ED1D612-47A5-49F2-A227-901CC1650594}" cache="Slicer_Team_Name" caption="Team_Name" level="1" rowHeight="241300"/>
  <slicer name="Venue_Name" xr10:uid="{D82EB657-CC1B-423E-9DCF-D349EC1FFA7A}" cache="Slicer_Venue_Name" caption="Venue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2E48D6C2-EFA1-4594-903F-00BC1D1AE6A0}" cache="Slicer_Venue_Name1" caption="Venue_Name"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35642A-5CB0-4623-B050-6618F802AF80}" name="fact_player" displayName="fact_player" ref="A1:K141" tableType="queryTable" totalsRowShown="0">
  <autoFilter ref="A1:K141" xr:uid="{8035642A-5CB0-4623-B050-6618F802AF80}"/>
  <tableColumns count="11">
    <tableColumn id="1" xr3:uid="{09490C34-136F-45DF-98C8-0FDDA9A355BE}" uniqueName="1" name="Match_ID" queryTableFieldId="1" dataDxfId="49"/>
    <tableColumn id="2" xr3:uid="{DE11FB93-D560-4060-B1F0-A754AF112CAA}" uniqueName="2" name="Player_ID" queryTableFieldId="2" dataDxfId="48"/>
    <tableColumn id="3" xr3:uid="{73C6BE1A-D827-4C5F-B499-809FF76A2D20}" uniqueName="3" name="Runs" queryTableFieldId="3" dataDxfId="47"/>
    <tableColumn id="4" xr3:uid="{97F7A198-A439-45D0-BEB4-EC9BC3A90E3B}" uniqueName="4" name="Balls_Faced" queryTableFieldId="4" dataDxfId="46"/>
    <tableColumn id="5" xr3:uid="{C99D10A0-B61D-4239-A13F-DE83EEA4F9BF}" uniqueName="5" name="Fours" queryTableFieldId="5" dataDxfId="45"/>
    <tableColumn id="6" xr3:uid="{33C40493-188F-494A-B09E-BAFA9AE4DE6C}" uniqueName="6" name="Sixes" queryTableFieldId="6" dataDxfId="44"/>
    <tableColumn id="7" xr3:uid="{693A48C6-7065-49C9-A9FD-791E6265FB0C}" uniqueName="7" name="Strike_Rate" queryTableFieldId="7" dataDxfId="43"/>
    <tableColumn id="8" xr3:uid="{DDB7AC13-51E7-4543-8354-89CED86FDB40}" uniqueName="8" name="Overs_Bowled" queryTableFieldId="8" dataDxfId="42"/>
    <tableColumn id="9" xr3:uid="{569D9774-5F6E-4A59-A45F-B025B0B8EE76}" uniqueName="9" name="Runs_Conceded" queryTableFieldId="9" dataDxfId="41"/>
    <tableColumn id="10" xr3:uid="{A50BCF45-9F5D-4A97-A168-21D9F8A00351}" uniqueName="10" name="Wickets" queryTableFieldId="10" dataDxfId="40"/>
    <tableColumn id="11" xr3:uid="{EE94B2C3-6DE0-49C9-9590-ABB9AF254C32}" uniqueName="11" name="Economy" queryTableFieldId="11" dataDxfId="3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8FEFA4-4FAE-41AA-9255-E0D0CBE047B3}" name="fact_match" displayName="fact_match" ref="A1:N61" tableType="queryTable" totalsRowShown="0">
  <autoFilter ref="A1:N61" xr:uid="{CD8FEFA4-4FAE-41AA-9255-E0D0CBE047B3}"/>
  <tableColumns count="14">
    <tableColumn id="1" xr3:uid="{8E15693A-373B-4DE6-B5D2-BA7F95A2B5F5}" uniqueName="1" name="Match_ID" queryTableFieldId="1" dataDxfId="38"/>
    <tableColumn id="3" xr3:uid="{F7A66723-2D62-4FBE-AF38-503EA284D4C4}" uniqueName="3" name="Venue_ID" queryTableFieldId="3" dataDxfId="37"/>
    <tableColumn id="2" xr3:uid="{BE41578C-8C21-44CF-9F73-AAEA01E15AA0}" uniqueName="2" name="Date" queryTableFieldId="2" dataDxfId="36"/>
    <tableColumn id="4" xr3:uid="{94131E67-17E9-487E-844B-2E7E0672C126}" uniqueName="4" name="Team1_ID" queryTableFieldId="4" dataDxfId="35"/>
    <tableColumn id="5" xr3:uid="{B3D4A116-F04C-44D1-A9D3-7CD58654D31A}" uniqueName="5" name="Team2_ID" queryTableFieldId="5" dataDxfId="34"/>
    <tableColumn id="6" xr3:uid="{C76DE449-61FF-433B-AC59-89A38AF2F6B8}" uniqueName="6" name="Toss_Winner" queryTableFieldId="6" dataDxfId="33"/>
    <tableColumn id="7" xr3:uid="{CE886B03-C8CD-41AD-961F-630630885CDA}" uniqueName="7" name="Match_Winner" queryTableFieldId="7" dataDxfId="32"/>
    <tableColumn id="8" xr3:uid="{B9E9477B-B0BA-4DA9-A02F-FF3CBAC619DD}" uniqueName="8" name="Man_of_Match" queryTableFieldId="8" dataDxfId="31"/>
    <tableColumn id="9" xr3:uid="{34C4BE66-3245-4BEB-B3B7-E2C839DB44D9}" uniqueName="9" name="Team1_Runs" queryTableFieldId="9" dataDxfId="30"/>
    <tableColumn id="10" xr3:uid="{58473337-059E-44C1-B830-5B5E89818B47}" uniqueName="10" name="Team2_Runs" queryTableFieldId="10" dataDxfId="29"/>
    <tableColumn id="11" xr3:uid="{6AB8CD87-61AD-4FAE-8B19-84CBFAD11F04}" uniqueName="11" name="Team1_Wickets" queryTableFieldId="11" dataDxfId="28"/>
    <tableColumn id="12" xr3:uid="{D409C198-610C-4BD0-B11F-5D40F4C08B21}" uniqueName="12" name="Team2_Wickets" queryTableFieldId="12" dataDxfId="27"/>
    <tableColumn id="13" xr3:uid="{FAD8E9AF-5224-495C-91AF-22068CD66AFD}" uniqueName="13" name="Overs_Team1" queryTableFieldId="13" dataDxfId="26"/>
    <tableColumn id="14" xr3:uid="{A4725446-B849-46EB-B3DC-AD44899B76EB}" uniqueName="14" name="Overs_Team2" queryTableFieldId="14"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54A2CC-CABF-4390-97AD-39AC92E73DBD}" name="dim_venue" displayName="dim_venue" ref="A1:D11" tableType="queryTable" totalsRowShown="0">
  <autoFilter ref="A1:D11" xr:uid="{7154A2CC-CABF-4390-97AD-39AC92E73DBD}"/>
  <tableColumns count="4">
    <tableColumn id="1" xr3:uid="{6406FF0E-83B7-4346-8781-3C4CDF509053}" uniqueName="1" name="Venue_ID" queryTableFieldId="1" dataDxfId="24"/>
    <tableColumn id="2" xr3:uid="{D854DA8D-1C99-4A12-993E-2313F9F5A72F}" uniqueName="2" name="Venue_Name" queryTableFieldId="2" dataDxfId="23"/>
    <tableColumn id="3" xr3:uid="{6B028E02-48C8-4058-B6E7-A59BEAAFADC8}" uniqueName="3" name="City" queryTableFieldId="3" dataDxfId="22"/>
    <tableColumn id="4" xr3:uid="{EFA416A5-191F-43C1-AF4B-F4150F4ADD45}" uniqueName="4" name="Capacity" queryTableFieldId="4" dataDxf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DA77F2-DF88-46AC-B352-83064C0E6C5D}" name="dim_team" displayName="dim_team" ref="A1:G9" tableType="queryTable" totalsRowShown="0">
  <autoFilter ref="A1:G9" xr:uid="{37DA77F2-DF88-46AC-B352-83064C0E6C5D}"/>
  <tableColumns count="7">
    <tableColumn id="8" xr3:uid="{D27AE226-4AB1-4464-B8BE-CF20068318FE}" uniqueName="8" name="Team_ID" queryTableFieldId="8" dataDxfId="20"/>
    <tableColumn id="9" xr3:uid="{5457CE15-7B58-445E-9ACA-B9658A97B6CA}" uniqueName="9" name="Team_Name" queryTableFieldId="9" dataDxfId="19"/>
    <tableColumn id="10" xr3:uid="{6DB2F004-E727-44E5-980E-256EAA8013BA}" uniqueName="10" name="Captain" queryTableFieldId="10" dataDxfId="18"/>
    <tableColumn id="11" xr3:uid="{8CE99898-1DF4-4CF7-9CEC-1BF2900115F6}" uniqueName="11" name="Coach" queryTableFieldId="11" dataDxfId="17"/>
    <tableColumn id="12" xr3:uid="{69D20BD6-91D4-4D0A-B1D7-26CEF26E4EA8}" uniqueName="12" name="Home_Ground" queryTableFieldId="12" dataDxfId="16"/>
    <tableColumn id="13" xr3:uid="{2248DD60-E716-453A-9B99-2E1C38A59E69}" uniqueName="13" name="City" queryTableFieldId="13" dataDxfId="15"/>
    <tableColumn id="14" xr3:uid="{530EC6A6-82D3-4269-A899-1D668C89C8E5}" uniqueName="14" name="Owner" queryTableFieldId="14" dataDxf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F13FFA-07B2-4D26-97BB-DFC1F3023261}" name="dim_player" displayName="dim_player" ref="A1:H34" tableType="queryTable" totalsRowShown="0">
  <autoFilter ref="A1:H34" xr:uid="{D5F13FFA-07B2-4D26-97BB-DFC1F3023261}"/>
  <tableColumns count="8">
    <tableColumn id="1" xr3:uid="{781B5C6A-F7F2-44B7-B0CD-8D4F6A5E0232}" uniqueName="1" name="Player_ID" queryTableFieldId="1" dataDxfId="13"/>
    <tableColumn id="2" xr3:uid="{E2AD9273-DD32-4BFD-B0C9-1281F657D316}" uniqueName="2" name="Player_Name" queryTableFieldId="2" dataDxfId="12"/>
    <tableColumn id="3" xr3:uid="{6F985465-E622-4063-96AA-C5861B891AF9}" uniqueName="3" name="Team_ID" queryTableFieldId="3" dataDxfId="11"/>
    <tableColumn id="4" xr3:uid="{CFB0DB4B-120E-40F1-8AA9-08F937CE3003}" uniqueName="4" name="Role" queryTableFieldId="4" dataDxfId="10"/>
    <tableColumn id="5" xr3:uid="{77216569-B319-4532-A663-7251A24EEE17}" uniqueName="5" name="Nationality" queryTableFieldId="5" dataDxfId="9"/>
    <tableColumn id="6" xr3:uid="{5BAE158F-F613-4F56-BDF2-1153C4B11052}" uniqueName="6" name="Age" queryTableFieldId="6" dataDxfId="8"/>
    <tableColumn id="7" xr3:uid="{70FAB9F1-095C-4900-8D97-904D5F507486}" uniqueName="7" name="Batting_Style" queryTableFieldId="7" dataDxfId="7"/>
    <tableColumn id="8" xr3:uid="{46BFDEAA-D1C3-46DA-9C55-8E4498748E0F}" uniqueName="8" name="Bowling_Style" queryTableFieldId="8"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F2C1852-310A-477F-98BC-A2A89CA99627}" name="Table_ExternalData_111" displayName="Table_ExternalData_111" ref="A3:K143" tableType="queryTable" totalsRowShown="0">
  <autoFilter ref="A3:K143" xr:uid="{4F2C1852-310A-477F-98BC-A2A89CA99627}"/>
  <tableColumns count="11">
    <tableColumn id="1" xr3:uid="{D3337779-B6B9-424A-8DC9-2A840DE882A4}" uniqueName="1" name="fact_player[Match_ID]" queryTableFieldId="1"/>
    <tableColumn id="2" xr3:uid="{16880AD6-4C99-4AAB-BFC5-C90B92BA0D31}" uniqueName="2" name="fact_player[Player_ID]" queryTableFieldId="2"/>
    <tableColumn id="3" xr3:uid="{8CD26E13-DEDC-4435-823B-59A29E833590}" uniqueName="3" name="fact_player[Runs]" queryTableFieldId="3"/>
    <tableColumn id="4" xr3:uid="{242450EF-9535-43C6-BD85-5F797AE47966}" uniqueName="4" name="fact_player[Balls_Faced]" queryTableFieldId="4"/>
    <tableColumn id="5" xr3:uid="{68C29214-6638-42A4-B4FA-4EBC78E23FC8}" uniqueName="5" name="fact_player[Fours]" queryTableFieldId="5"/>
    <tableColumn id="6" xr3:uid="{98ED162F-5116-4464-AA2E-8F6251608838}" uniqueName="6" name="fact_player[Sixes]" queryTableFieldId="6"/>
    <tableColumn id="7" xr3:uid="{2666AF2B-D45C-46D1-87C4-6CE5B9786AD0}" uniqueName="7" name="fact_player[Strike_Rate]" queryTableFieldId="7"/>
    <tableColumn id="8" xr3:uid="{5222B299-2DD5-4CC7-8274-5618B8F2DF73}" uniqueName="8" name="fact_player[Overs_Bowled]" queryTableFieldId="8"/>
    <tableColumn id="9" xr3:uid="{96C61E82-16BE-41E8-A8D3-E1D231420702}" uniqueName="9" name="fact_player[Runs_Conceded]" queryTableFieldId="9"/>
    <tableColumn id="10" xr3:uid="{CEA2483E-C277-46A3-8ACB-4B6C21A66BF2}" uniqueName="10" name="fact_player[Wickets]" queryTableFieldId="10"/>
    <tableColumn id="11" xr3:uid="{332E170F-D0A8-4C6E-A48A-9C599F59E21E}" uniqueName="11" name="fact_player[Economy]" queryTableField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3.xml"/><Relationship Id="rId4"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F7D7F-8C3C-4881-B483-CEACD40BA875}">
  <dimension ref="A1:K141"/>
  <sheetViews>
    <sheetView topLeftCell="A31" workbookViewId="0">
      <selection activeCell="M26" sqref="M26"/>
    </sheetView>
  </sheetViews>
  <sheetFormatPr defaultRowHeight="14.5" x14ac:dyDescent="0.35"/>
  <cols>
    <col min="1" max="1" width="11.26953125" bestFit="1" customWidth="1"/>
    <col min="2" max="2" width="11.08984375" bestFit="1" customWidth="1"/>
    <col min="3" max="3" width="7.1796875" bestFit="1" customWidth="1"/>
    <col min="4" max="4" width="12.7265625" bestFit="1" customWidth="1"/>
    <col min="5" max="5" width="7.7265625" bestFit="1" customWidth="1"/>
    <col min="6" max="6" width="7.1796875" bestFit="1" customWidth="1"/>
    <col min="7" max="7" width="12.7265625" bestFit="1" customWidth="1"/>
    <col min="8" max="8" width="15.1796875" bestFit="1" customWidth="1"/>
    <col min="9" max="9" width="16.54296875" bestFit="1" customWidth="1"/>
    <col min="10" max="10" width="9.7265625" bestFit="1" customWidth="1"/>
    <col min="11" max="11" width="10.7265625" bestFit="1" customWidth="1"/>
  </cols>
  <sheetData>
    <row r="1" spans="1:11" x14ac:dyDescent="0.35">
      <c r="A1" t="s">
        <v>201</v>
      </c>
      <c r="B1" t="s">
        <v>0</v>
      </c>
      <c r="C1" t="s">
        <v>333</v>
      </c>
      <c r="D1" t="s">
        <v>334</v>
      </c>
      <c r="E1" t="s">
        <v>335</v>
      </c>
      <c r="F1" t="s">
        <v>336</v>
      </c>
      <c r="G1" t="s">
        <v>337</v>
      </c>
      <c r="H1" t="s">
        <v>338</v>
      </c>
      <c r="I1" t="s">
        <v>339</v>
      </c>
      <c r="J1" t="s">
        <v>340</v>
      </c>
      <c r="K1" t="s">
        <v>341</v>
      </c>
    </row>
    <row r="2" spans="1:11" x14ac:dyDescent="0.35">
      <c r="A2" s="1" t="s">
        <v>214</v>
      </c>
      <c r="B2" s="1" t="s">
        <v>34</v>
      </c>
      <c r="C2" s="1">
        <v>58</v>
      </c>
      <c r="D2" s="1">
        <v>32</v>
      </c>
      <c r="E2" s="1">
        <v>6</v>
      </c>
      <c r="F2" s="1">
        <v>3</v>
      </c>
      <c r="G2" s="1">
        <v>181.25</v>
      </c>
      <c r="H2" s="1">
        <v>0</v>
      </c>
      <c r="I2" s="1">
        <v>0</v>
      </c>
      <c r="J2" s="1">
        <v>0</v>
      </c>
      <c r="K2" s="1">
        <v>0</v>
      </c>
    </row>
    <row r="3" spans="1:11" x14ac:dyDescent="0.35">
      <c r="A3" s="1" t="s">
        <v>216</v>
      </c>
      <c r="B3" s="1" t="s">
        <v>119</v>
      </c>
      <c r="C3" s="1">
        <v>95</v>
      </c>
      <c r="D3" s="1">
        <v>58</v>
      </c>
      <c r="E3" s="1">
        <v>10</v>
      </c>
      <c r="F3" s="1">
        <v>4</v>
      </c>
      <c r="G3" s="1">
        <v>163.79</v>
      </c>
      <c r="H3" s="1">
        <v>0</v>
      </c>
      <c r="I3" s="1">
        <v>0</v>
      </c>
      <c r="J3" s="1">
        <v>0</v>
      </c>
      <c r="K3" s="1">
        <v>0</v>
      </c>
    </row>
    <row r="4" spans="1:11" x14ac:dyDescent="0.35">
      <c r="A4" s="1" t="s">
        <v>218</v>
      </c>
      <c r="B4" s="1" t="s">
        <v>63</v>
      </c>
      <c r="C4" s="1">
        <v>34</v>
      </c>
      <c r="D4" s="1">
        <v>18</v>
      </c>
      <c r="E4" s="1">
        <v>2</v>
      </c>
      <c r="F4" s="1">
        <v>3</v>
      </c>
      <c r="G4" s="1">
        <v>188.89</v>
      </c>
      <c r="H4" s="1">
        <v>4</v>
      </c>
      <c r="I4" s="1">
        <v>38</v>
      </c>
      <c r="J4" s="1">
        <v>3</v>
      </c>
      <c r="K4" s="1">
        <v>9.5</v>
      </c>
    </row>
    <row r="5" spans="1:11" x14ac:dyDescent="0.35">
      <c r="A5" s="1" t="s">
        <v>219</v>
      </c>
      <c r="B5" s="1" t="s">
        <v>84</v>
      </c>
      <c r="C5" s="1">
        <v>65</v>
      </c>
      <c r="D5" s="1">
        <v>40</v>
      </c>
      <c r="E5" s="1">
        <v>7</v>
      </c>
      <c r="F5" s="1">
        <v>2</v>
      </c>
      <c r="G5" s="1">
        <v>162.5</v>
      </c>
      <c r="H5" s="1">
        <v>0</v>
      </c>
      <c r="I5" s="1">
        <v>0</v>
      </c>
      <c r="J5" s="1">
        <v>0</v>
      </c>
      <c r="K5" s="1">
        <v>0</v>
      </c>
    </row>
    <row r="6" spans="1:11" x14ac:dyDescent="0.35">
      <c r="A6" s="1" t="s">
        <v>221</v>
      </c>
      <c r="B6" s="1" t="s">
        <v>95</v>
      </c>
      <c r="C6" s="1">
        <v>88</v>
      </c>
      <c r="D6" s="1">
        <v>52</v>
      </c>
      <c r="E6" s="1">
        <v>8</v>
      </c>
      <c r="F6" s="1">
        <v>3</v>
      </c>
      <c r="G6" s="1">
        <v>169.23</v>
      </c>
      <c r="H6" s="1">
        <v>0</v>
      </c>
      <c r="I6" s="1">
        <v>0</v>
      </c>
      <c r="J6" s="1">
        <v>0</v>
      </c>
      <c r="K6" s="1">
        <v>0</v>
      </c>
    </row>
    <row r="7" spans="1:11" x14ac:dyDescent="0.35">
      <c r="A7" s="1" t="s">
        <v>223</v>
      </c>
      <c r="B7" s="1" t="s">
        <v>66</v>
      </c>
      <c r="C7" s="1">
        <v>18</v>
      </c>
      <c r="D7" s="1">
        <v>10</v>
      </c>
      <c r="E7" s="1">
        <v>1</v>
      </c>
      <c r="F7" s="1">
        <v>1</v>
      </c>
      <c r="G7" s="1">
        <v>180</v>
      </c>
      <c r="H7" s="1">
        <v>4</v>
      </c>
      <c r="I7" s="1">
        <v>22</v>
      </c>
      <c r="J7" s="1">
        <v>2</v>
      </c>
      <c r="K7" s="1">
        <v>5.5</v>
      </c>
    </row>
    <row r="8" spans="1:11" x14ac:dyDescent="0.35">
      <c r="A8" s="1" t="s">
        <v>225</v>
      </c>
      <c r="B8" s="1" t="s">
        <v>37</v>
      </c>
      <c r="C8" s="1">
        <v>0</v>
      </c>
      <c r="D8" s="1">
        <v>0</v>
      </c>
      <c r="E8" s="1">
        <v>0</v>
      </c>
      <c r="F8" s="1">
        <v>0</v>
      </c>
      <c r="G8" s="1">
        <v>0</v>
      </c>
      <c r="H8" s="1">
        <v>4</v>
      </c>
      <c r="I8" s="1">
        <v>24</v>
      </c>
      <c r="J8" s="1">
        <v>3</v>
      </c>
      <c r="K8" s="1">
        <v>6</v>
      </c>
    </row>
    <row r="9" spans="1:11" x14ac:dyDescent="0.35">
      <c r="A9" s="1" t="s">
        <v>227</v>
      </c>
      <c r="B9" s="1" t="s">
        <v>117</v>
      </c>
      <c r="C9" s="1">
        <v>56</v>
      </c>
      <c r="D9" s="1">
        <v>28</v>
      </c>
      <c r="E9" s="1">
        <v>3</v>
      </c>
      <c r="F9" s="1">
        <v>5</v>
      </c>
      <c r="G9" s="1">
        <v>200</v>
      </c>
      <c r="H9" s="1">
        <v>0</v>
      </c>
      <c r="I9" s="1">
        <v>0</v>
      </c>
      <c r="J9" s="1">
        <v>0</v>
      </c>
      <c r="K9" s="1">
        <v>0</v>
      </c>
    </row>
    <row r="10" spans="1:11" x14ac:dyDescent="0.35">
      <c r="A10" s="1" t="s">
        <v>229</v>
      </c>
      <c r="B10" s="1" t="s">
        <v>68</v>
      </c>
      <c r="C10" s="1">
        <v>0</v>
      </c>
      <c r="D10" s="1">
        <v>0</v>
      </c>
      <c r="E10" s="1">
        <v>0</v>
      </c>
      <c r="F10" s="1">
        <v>0</v>
      </c>
      <c r="G10" s="1">
        <v>0</v>
      </c>
      <c r="H10" s="1">
        <v>3.3</v>
      </c>
      <c r="I10" s="1">
        <v>19</v>
      </c>
      <c r="J10" s="1">
        <v>4</v>
      </c>
      <c r="K10" s="1">
        <v>5.43</v>
      </c>
    </row>
    <row r="11" spans="1:11" x14ac:dyDescent="0.35">
      <c r="A11" s="1" t="s">
        <v>231</v>
      </c>
      <c r="B11" s="1" t="s">
        <v>75</v>
      </c>
      <c r="C11" s="1">
        <v>0</v>
      </c>
      <c r="D11" s="1">
        <v>0</v>
      </c>
      <c r="E11" s="1">
        <v>0</v>
      </c>
      <c r="F11" s="1">
        <v>0</v>
      </c>
      <c r="G11" s="1">
        <v>0</v>
      </c>
      <c r="H11" s="1">
        <v>4</v>
      </c>
      <c r="I11" s="1">
        <v>17</v>
      </c>
      <c r="J11" s="1">
        <v>2</v>
      </c>
      <c r="K11" s="1">
        <v>4.25</v>
      </c>
    </row>
    <row r="12" spans="1:11" x14ac:dyDescent="0.35">
      <c r="A12" s="1" t="s">
        <v>233</v>
      </c>
      <c r="B12" s="1" t="s">
        <v>98</v>
      </c>
      <c r="C12" s="1">
        <v>75</v>
      </c>
      <c r="D12" s="1">
        <v>45</v>
      </c>
      <c r="E12" s="1">
        <v>5</v>
      </c>
      <c r="F12" s="1">
        <v>4</v>
      </c>
      <c r="G12" s="1">
        <v>166.67</v>
      </c>
      <c r="H12" s="1">
        <v>0</v>
      </c>
      <c r="I12" s="1">
        <v>0</v>
      </c>
      <c r="J12" s="1">
        <v>0</v>
      </c>
      <c r="K12" s="1">
        <v>0</v>
      </c>
    </row>
    <row r="13" spans="1:11" x14ac:dyDescent="0.35">
      <c r="A13" s="1" t="s">
        <v>235</v>
      </c>
      <c r="B13" s="1" t="s">
        <v>41</v>
      </c>
      <c r="C13" s="1">
        <v>48</v>
      </c>
      <c r="D13" s="1">
        <v>32</v>
      </c>
      <c r="E13" s="1">
        <v>4</v>
      </c>
      <c r="F13" s="1">
        <v>1</v>
      </c>
      <c r="G13" s="1">
        <v>150</v>
      </c>
      <c r="H13" s="1">
        <v>0</v>
      </c>
      <c r="I13" s="1">
        <v>0</v>
      </c>
      <c r="J13" s="1">
        <v>0</v>
      </c>
      <c r="K13" s="1">
        <v>0</v>
      </c>
    </row>
    <row r="14" spans="1:11" x14ac:dyDescent="0.35">
      <c r="A14" s="1" t="s">
        <v>237</v>
      </c>
      <c r="B14" s="1" t="s">
        <v>47</v>
      </c>
      <c r="C14" s="1">
        <v>105</v>
      </c>
      <c r="D14" s="1">
        <v>60</v>
      </c>
      <c r="E14" s="1">
        <v>12</v>
      </c>
      <c r="F14" s="1">
        <v>3</v>
      </c>
      <c r="G14" s="1">
        <v>175</v>
      </c>
      <c r="H14" s="1">
        <v>0</v>
      </c>
      <c r="I14" s="1">
        <v>0</v>
      </c>
      <c r="J14" s="1">
        <v>0</v>
      </c>
      <c r="K14" s="1">
        <v>0</v>
      </c>
    </row>
    <row r="15" spans="1:11" x14ac:dyDescent="0.35">
      <c r="A15" s="1" t="s">
        <v>239</v>
      </c>
      <c r="B15" s="1" t="s">
        <v>8</v>
      </c>
      <c r="C15" s="1">
        <v>88</v>
      </c>
      <c r="D15" s="1">
        <v>48</v>
      </c>
      <c r="E15" s="1">
        <v>9</v>
      </c>
      <c r="F15" s="1">
        <v>4</v>
      </c>
      <c r="G15" s="1">
        <v>183.33</v>
      </c>
      <c r="H15" s="1">
        <v>0</v>
      </c>
      <c r="I15" s="1">
        <v>0</v>
      </c>
      <c r="J15" s="1">
        <v>0</v>
      </c>
      <c r="K15" s="1">
        <v>0</v>
      </c>
    </row>
    <row r="16" spans="1:11" x14ac:dyDescent="0.35">
      <c r="A16" s="1" t="s">
        <v>241</v>
      </c>
      <c r="B16" s="1" t="s">
        <v>111</v>
      </c>
      <c r="C16" s="1">
        <v>65</v>
      </c>
      <c r="D16" s="1">
        <v>40</v>
      </c>
      <c r="E16" s="1">
        <v>6</v>
      </c>
      <c r="F16" s="1">
        <v>2</v>
      </c>
      <c r="G16" s="1">
        <v>162.5</v>
      </c>
      <c r="H16" s="1">
        <v>0</v>
      </c>
      <c r="I16" s="1">
        <v>0</v>
      </c>
      <c r="J16" s="1">
        <v>0</v>
      </c>
      <c r="K16" s="1">
        <v>0</v>
      </c>
    </row>
    <row r="17" spans="1:11" x14ac:dyDescent="0.35">
      <c r="A17" s="1" t="s">
        <v>243</v>
      </c>
      <c r="B17" s="1" t="s">
        <v>101</v>
      </c>
      <c r="C17" s="1">
        <v>0</v>
      </c>
      <c r="D17" s="1">
        <v>0</v>
      </c>
      <c r="E17" s="1">
        <v>0</v>
      </c>
      <c r="F17" s="1">
        <v>0</v>
      </c>
      <c r="G17" s="1">
        <v>0</v>
      </c>
      <c r="H17" s="1">
        <v>4</v>
      </c>
      <c r="I17" s="1">
        <v>22</v>
      </c>
      <c r="J17" s="1">
        <v>3</v>
      </c>
      <c r="K17" s="1">
        <v>5.5</v>
      </c>
    </row>
    <row r="18" spans="1:11" x14ac:dyDescent="0.35">
      <c r="A18" s="1" t="s">
        <v>245</v>
      </c>
      <c r="B18" s="1" t="s">
        <v>34</v>
      </c>
      <c r="C18" s="1">
        <v>55</v>
      </c>
      <c r="D18" s="1">
        <v>30</v>
      </c>
      <c r="E18" s="1">
        <v>5</v>
      </c>
      <c r="F18" s="1">
        <v>3</v>
      </c>
      <c r="G18" s="1">
        <v>183.33</v>
      </c>
      <c r="H18" s="1">
        <v>0</v>
      </c>
      <c r="I18" s="1">
        <v>0</v>
      </c>
      <c r="J18" s="1">
        <v>0</v>
      </c>
      <c r="K18" s="1">
        <v>0</v>
      </c>
    </row>
    <row r="19" spans="1:11" x14ac:dyDescent="0.35">
      <c r="A19" s="1" t="s">
        <v>247</v>
      </c>
      <c r="B19" s="1" t="s">
        <v>53</v>
      </c>
      <c r="C19" s="1">
        <v>68</v>
      </c>
      <c r="D19" s="1">
        <v>40</v>
      </c>
      <c r="E19" s="1">
        <v>6</v>
      </c>
      <c r="F19" s="1">
        <v>3</v>
      </c>
      <c r="G19" s="1">
        <v>170</v>
      </c>
      <c r="H19" s="1">
        <v>0</v>
      </c>
      <c r="I19" s="1">
        <v>0</v>
      </c>
      <c r="J19" s="1">
        <v>0</v>
      </c>
      <c r="K19" s="1">
        <v>0</v>
      </c>
    </row>
    <row r="20" spans="1:11" x14ac:dyDescent="0.35">
      <c r="A20" s="1" t="s">
        <v>249</v>
      </c>
      <c r="B20" s="1" t="s">
        <v>89</v>
      </c>
      <c r="C20" s="1">
        <v>0</v>
      </c>
      <c r="D20" s="1">
        <v>0</v>
      </c>
      <c r="E20" s="1">
        <v>0</v>
      </c>
      <c r="F20" s="1">
        <v>0</v>
      </c>
      <c r="G20" s="1">
        <v>0</v>
      </c>
      <c r="H20" s="1">
        <v>4</v>
      </c>
      <c r="I20" s="1">
        <v>20</v>
      </c>
      <c r="J20" s="1">
        <v>3</v>
      </c>
      <c r="K20" s="1">
        <v>5</v>
      </c>
    </row>
    <row r="21" spans="1:11" x14ac:dyDescent="0.35">
      <c r="A21" s="1" t="s">
        <v>251</v>
      </c>
      <c r="B21" s="1" t="s">
        <v>79</v>
      </c>
      <c r="C21" s="1">
        <v>50</v>
      </c>
      <c r="D21" s="1">
        <v>30</v>
      </c>
      <c r="E21" s="1">
        <v>4</v>
      </c>
      <c r="F21" s="1">
        <v>3</v>
      </c>
      <c r="G21" s="1">
        <v>166.67</v>
      </c>
      <c r="H21" s="1">
        <v>0</v>
      </c>
      <c r="I21" s="1">
        <v>0</v>
      </c>
      <c r="J21" s="1">
        <v>0</v>
      </c>
      <c r="K21" s="1">
        <v>0</v>
      </c>
    </row>
    <row r="22" spans="1:11" x14ac:dyDescent="0.35">
      <c r="A22" s="1" t="s">
        <v>253</v>
      </c>
      <c r="B22" s="1" t="s">
        <v>16</v>
      </c>
      <c r="C22" s="1">
        <v>0</v>
      </c>
      <c r="D22" s="1">
        <v>0</v>
      </c>
      <c r="E22" s="1">
        <v>0</v>
      </c>
      <c r="F22" s="1">
        <v>0</v>
      </c>
      <c r="G22" s="1">
        <v>0</v>
      </c>
      <c r="H22" s="1">
        <v>4</v>
      </c>
      <c r="I22" s="1">
        <v>26</v>
      </c>
      <c r="J22" s="1">
        <v>3</v>
      </c>
      <c r="K22" s="1">
        <v>6.5</v>
      </c>
    </row>
    <row r="23" spans="1:11" x14ac:dyDescent="0.35">
      <c r="A23" s="1" t="s">
        <v>255</v>
      </c>
      <c r="B23" s="1" t="s">
        <v>115</v>
      </c>
      <c r="C23" s="1">
        <v>0</v>
      </c>
      <c r="D23" s="1">
        <v>0</v>
      </c>
      <c r="E23" s="1">
        <v>0</v>
      </c>
      <c r="F23" s="1">
        <v>0</v>
      </c>
      <c r="G23" s="1">
        <v>0</v>
      </c>
      <c r="H23" s="1">
        <v>4</v>
      </c>
      <c r="I23" s="1">
        <v>23</v>
      </c>
      <c r="J23" s="1">
        <v>2</v>
      </c>
      <c r="K23" s="1">
        <v>5.75</v>
      </c>
    </row>
    <row r="24" spans="1:11" x14ac:dyDescent="0.35">
      <c r="A24" s="1" t="s">
        <v>257</v>
      </c>
      <c r="B24" s="1" t="s">
        <v>47</v>
      </c>
      <c r="C24" s="1">
        <v>80</v>
      </c>
      <c r="D24" s="1">
        <v>55</v>
      </c>
      <c r="E24" s="1">
        <v>7</v>
      </c>
      <c r="F24" s="1">
        <v>2</v>
      </c>
      <c r="G24" s="1">
        <v>145.44999999999999</v>
      </c>
      <c r="H24" s="1">
        <v>0</v>
      </c>
      <c r="I24" s="1">
        <v>0</v>
      </c>
      <c r="J24" s="1">
        <v>0</v>
      </c>
      <c r="K24" s="1">
        <v>0</v>
      </c>
    </row>
    <row r="25" spans="1:11" x14ac:dyDescent="0.35">
      <c r="A25" s="1" t="s">
        <v>259</v>
      </c>
      <c r="B25" s="1" t="s">
        <v>21</v>
      </c>
      <c r="C25" s="1">
        <v>78</v>
      </c>
      <c r="D25" s="1">
        <v>45</v>
      </c>
      <c r="E25" s="1">
        <v>8</v>
      </c>
      <c r="F25" s="1">
        <v>3</v>
      </c>
      <c r="G25" s="1">
        <v>173.33</v>
      </c>
      <c r="H25" s="1">
        <v>0</v>
      </c>
      <c r="I25" s="1">
        <v>0</v>
      </c>
      <c r="J25" s="1">
        <v>0</v>
      </c>
      <c r="K25" s="1">
        <v>0</v>
      </c>
    </row>
    <row r="26" spans="1:11" x14ac:dyDescent="0.35">
      <c r="A26" s="1" t="s">
        <v>261</v>
      </c>
      <c r="B26" s="1" t="s">
        <v>119</v>
      </c>
      <c r="C26" s="1">
        <v>90</v>
      </c>
      <c r="D26" s="1">
        <v>50</v>
      </c>
      <c r="E26" s="1">
        <v>11</v>
      </c>
      <c r="F26" s="1">
        <v>3</v>
      </c>
      <c r="G26" s="1">
        <v>180</v>
      </c>
      <c r="H26" s="1">
        <v>0</v>
      </c>
      <c r="I26" s="1">
        <v>0</v>
      </c>
      <c r="J26" s="1">
        <v>0</v>
      </c>
      <c r="K26" s="1">
        <v>0</v>
      </c>
    </row>
    <row r="27" spans="1:11" x14ac:dyDescent="0.35">
      <c r="A27" s="1" t="s">
        <v>263</v>
      </c>
      <c r="B27" s="1" t="s">
        <v>44</v>
      </c>
      <c r="C27" s="1">
        <v>0</v>
      </c>
      <c r="D27" s="1">
        <v>0</v>
      </c>
      <c r="E27" s="1">
        <v>0</v>
      </c>
      <c r="F27" s="1">
        <v>0</v>
      </c>
      <c r="G27" s="1">
        <v>0</v>
      </c>
      <c r="H27" s="1">
        <v>4</v>
      </c>
      <c r="I27" s="1">
        <v>21</v>
      </c>
      <c r="J27" s="1">
        <v>3</v>
      </c>
      <c r="K27" s="1">
        <v>5.25</v>
      </c>
    </row>
    <row r="28" spans="1:11" x14ac:dyDescent="0.35">
      <c r="A28" s="1" t="s">
        <v>265</v>
      </c>
      <c r="B28" s="1" t="s">
        <v>84</v>
      </c>
      <c r="C28" s="1">
        <v>102</v>
      </c>
      <c r="D28" s="1">
        <v>59</v>
      </c>
      <c r="E28" s="1">
        <v>10</v>
      </c>
      <c r="F28" s="1">
        <v>4</v>
      </c>
      <c r="G28" s="1">
        <v>172.88</v>
      </c>
      <c r="H28" s="1">
        <v>0</v>
      </c>
      <c r="I28" s="1">
        <v>0</v>
      </c>
      <c r="J28" s="1">
        <v>0</v>
      </c>
      <c r="K28" s="1">
        <v>0</v>
      </c>
    </row>
    <row r="29" spans="1:11" x14ac:dyDescent="0.35">
      <c r="A29" s="1" t="s">
        <v>267</v>
      </c>
      <c r="B29" s="1" t="s">
        <v>27</v>
      </c>
      <c r="C29" s="1">
        <v>60</v>
      </c>
      <c r="D29" s="1">
        <v>35</v>
      </c>
      <c r="E29" s="1">
        <v>5</v>
      </c>
      <c r="F29" s="1">
        <v>3</v>
      </c>
      <c r="G29" s="1">
        <v>171.43</v>
      </c>
      <c r="H29" s="1">
        <v>0</v>
      </c>
      <c r="I29" s="1">
        <v>0</v>
      </c>
      <c r="J29" s="1">
        <v>0</v>
      </c>
      <c r="K29" s="1">
        <v>0</v>
      </c>
    </row>
    <row r="30" spans="1:11" x14ac:dyDescent="0.35">
      <c r="A30" s="1" t="s">
        <v>269</v>
      </c>
      <c r="B30" s="1" t="s">
        <v>105</v>
      </c>
      <c r="C30" s="1">
        <v>70</v>
      </c>
      <c r="D30" s="1">
        <v>42</v>
      </c>
      <c r="E30" s="1">
        <v>8</v>
      </c>
      <c r="F30" s="1">
        <v>2</v>
      </c>
      <c r="G30" s="1">
        <v>166.67</v>
      </c>
      <c r="H30" s="1">
        <v>0</v>
      </c>
      <c r="I30" s="1">
        <v>0</v>
      </c>
      <c r="J30" s="1">
        <v>0</v>
      </c>
      <c r="K30" s="1">
        <v>0</v>
      </c>
    </row>
    <row r="31" spans="1:11" x14ac:dyDescent="0.35">
      <c r="A31" s="1" t="s">
        <v>271</v>
      </c>
      <c r="B31" s="1" t="s">
        <v>59</v>
      </c>
      <c r="C31" s="1">
        <v>85</v>
      </c>
      <c r="D31" s="1">
        <v>45</v>
      </c>
      <c r="E31" s="1">
        <v>7</v>
      </c>
      <c r="F31" s="1">
        <v>4</v>
      </c>
      <c r="G31" s="1">
        <v>188.89</v>
      </c>
      <c r="H31" s="1">
        <v>0</v>
      </c>
      <c r="I31" s="1">
        <v>0</v>
      </c>
      <c r="J31" s="1">
        <v>0</v>
      </c>
      <c r="K31" s="1">
        <v>0</v>
      </c>
    </row>
    <row r="32" spans="1:11" x14ac:dyDescent="0.35">
      <c r="A32" s="1" t="s">
        <v>273</v>
      </c>
      <c r="B32" s="1" t="s">
        <v>56</v>
      </c>
      <c r="C32" s="1">
        <v>42</v>
      </c>
      <c r="D32" s="1">
        <v>21</v>
      </c>
      <c r="E32" s="1">
        <v>3</v>
      </c>
      <c r="F32" s="1">
        <v>3</v>
      </c>
      <c r="G32" s="1">
        <v>200</v>
      </c>
      <c r="H32" s="1">
        <v>0</v>
      </c>
      <c r="I32" s="1">
        <v>0</v>
      </c>
      <c r="J32" s="1">
        <v>0</v>
      </c>
      <c r="K32" s="1">
        <v>0</v>
      </c>
    </row>
    <row r="33" spans="1:11" x14ac:dyDescent="0.35">
      <c r="A33" s="1" t="s">
        <v>275</v>
      </c>
      <c r="B33" s="1" t="s">
        <v>81</v>
      </c>
      <c r="C33" s="1">
        <v>0</v>
      </c>
      <c r="D33" s="1">
        <v>0</v>
      </c>
      <c r="E33" s="1">
        <v>0</v>
      </c>
      <c r="F33" s="1">
        <v>0</v>
      </c>
      <c r="G33" s="1">
        <v>0</v>
      </c>
      <c r="H33" s="1">
        <v>4</v>
      </c>
      <c r="I33" s="1">
        <v>25</v>
      </c>
      <c r="J33" s="1">
        <v>2</v>
      </c>
      <c r="K33" s="1">
        <v>6.25</v>
      </c>
    </row>
    <row r="34" spans="1:11" x14ac:dyDescent="0.35">
      <c r="A34" s="1" t="s">
        <v>277</v>
      </c>
      <c r="B34" s="1" t="s">
        <v>107</v>
      </c>
      <c r="C34" s="1">
        <v>0</v>
      </c>
      <c r="D34" s="1">
        <v>0</v>
      </c>
      <c r="E34" s="1">
        <v>0</v>
      </c>
      <c r="F34" s="1">
        <v>0</v>
      </c>
      <c r="G34" s="1">
        <v>0</v>
      </c>
      <c r="H34" s="1">
        <v>4</v>
      </c>
      <c r="I34" s="1">
        <v>20</v>
      </c>
      <c r="J34" s="1">
        <v>3</v>
      </c>
      <c r="K34" s="1">
        <v>5</v>
      </c>
    </row>
    <row r="35" spans="1:11" x14ac:dyDescent="0.35">
      <c r="A35" s="1" t="s">
        <v>279</v>
      </c>
      <c r="B35" s="1" t="s">
        <v>63</v>
      </c>
      <c r="C35" s="1">
        <v>90</v>
      </c>
      <c r="D35" s="1">
        <v>48</v>
      </c>
      <c r="E35" s="1">
        <v>8</v>
      </c>
      <c r="F35" s="1">
        <v>5</v>
      </c>
      <c r="G35" s="1">
        <v>187.5</v>
      </c>
      <c r="H35" s="1">
        <v>4</v>
      </c>
      <c r="I35" s="1">
        <v>35</v>
      </c>
      <c r="J35" s="1">
        <v>1</v>
      </c>
      <c r="K35" s="1">
        <v>8.75</v>
      </c>
    </row>
    <row r="36" spans="1:11" x14ac:dyDescent="0.35">
      <c r="A36" s="1" t="s">
        <v>281</v>
      </c>
      <c r="B36" s="1" t="s">
        <v>117</v>
      </c>
      <c r="C36" s="1">
        <v>110</v>
      </c>
      <c r="D36" s="1">
        <v>60</v>
      </c>
      <c r="E36" s="1">
        <v>10</v>
      </c>
      <c r="F36" s="1">
        <v>6</v>
      </c>
      <c r="G36" s="1">
        <v>183.33</v>
      </c>
      <c r="H36" s="1">
        <v>0</v>
      </c>
      <c r="I36" s="1">
        <v>0</v>
      </c>
      <c r="J36" s="1">
        <v>0</v>
      </c>
      <c r="K36" s="1">
        <v>0</v>
      </c>
    </row>
    <row r="37" spans="1:11" x14ac:dyDescent="0.35">
      <c r="A37" s="1" t="s">
        <v>283</v>
      </c>
      <c r="B37" s="1" t="s">
        <v>31</v>
      </c>
      <c r="C37" s="1">
        <v>30</v>
      </c>
      <c r="D37" s="1">
        <v>20</v>
      </c>
      <c r="E37" s="1">
        <v>2</v>
      </c>
      <c r="F37" s="1">
        <v>2</v>
      </c>
      <c r="G37" s="1">
        <v>150</v>
      </c>
      <c r="H37" s="1">
        <v>4</v>
      </c>
      <c r="I37" s="1">
        <v>25</v>
      </c>
      <c r="J37" s="1">
        <v>2</v>
      </c>
      <c r="K37" s="1">
        <v>6.25</v>
      </c>
    </row>
    <row r="38" spans="1:11" x14ac:dyDescent="0.35">
      <c r="A38" s="1" t="s">
        <v>285</v>
      </c>
      <c r="B38" s="1" t="s">
        <v>91</v>
      </c>
      <c r="C38" s="1">
        <v>0</v>
      </c>
      <c r="D38" s="1">
        <v>0</v>
      </c>
      <c r="E38" s="1">
        <v>0</v>
      </c>
      <c r="F38" s="1">
        <v>0</v>
      </c>
      <c r="G38" s="1">
        <v>0</v>
      </c>
      <c r="H38" s="1">
        <v>3.3</v>
      </c>
      <c r="I38" s="1">
        <v>18</v>
      </c>
      <c r="J38" s="1">
        <v>4</v>
      </c>
      <c r="K38" s="1">
        <v>5.14</v>
      </c>
    </row>
    <row r="39" spans="1:11" x14ac:dyDescent="0.35">
      <c r="A39" s="1" t="s">
        <v>287</v>
      </c>
      <c r="B39" s="1" t="s">
        <v>37</v>
      </c>
      <c r="C39" s="1">
        <v>0</v>
      </c>
      <c r="D39" s="1">
        <v>0</v>
      </c>
      <c r="E39" s="1">
        <v>0</v>
      </c>
      <c r="F39" s="1">
        <v>0</v>
      </c>
      <c r="G39" s="1">
        <v>0</v>
      </c>
      <c r="H39" s="1">
        <v>4</v>
      </c>
      <c r="I39" s="1">
        <v>22</v>
      </c>
      <c r="J39" s="1">
        <v>2</v>
      </c>
      <c r="K39" s="1">
        <v>5.5</v>
      </c>
    </row>
    <row r="40" spans="1:11" x14ac:dyDescent="0.35">
      <c r="A40" s="1" t="s">
        <v>289</v>
      </c>
      <c r="B40" s="1" t="s">
        <v>47</v>
      </c>
      <c r="C40" s="1">
        <v>120</v>
      </c>
      <c r="D40" s="1">
        <v>60</v>
      </c>
      <c r="E40" s="1">
        <v>12</v>
      </c>
      <c r="F40" s="1">
        <v>7</v>
      </c>
      <c r="G40" s="1">
        <v>200</v>
      </c>
      <c r="H40" s="1">
        <v>0</v>
      </c>
      <c r="I40" s="1">
        <v>0</v>
      </c>
      <c r="J40" s="1">
        <v>0</v>
      </c>
      <c r="K40" s="1">
        <v>0</v>
      </c>
    </row>
    <row r="41" spans="1:11" x14ac:dyDescent="0.35">
      <c r="A41" s="1" t="s">
        <v>291</v>
      </c>
      <c r="B41" s="1" t="s">
        <v>95</v>
      </c>
      <c r="C41" s="1">
        <v>85</v>
      </c>
      <c r="D41" s="1">
        <v>55</v>
      </c>
      <c r="E41" s="1">
        <v>9</v>
      </c>
      <c r="F41" s="1">
        <v>2</v>
      </c>
      <c r="G41" s="1">
        <v>154.55000000000001</v>
      </c>
      <c r="H41" s="1">
        <v>0</v>
      </c>
      <c r="I41" s="1">
        <v>0</v>
      </c>
      <c r="J41" s="1">
        <v>0</v>
      </c>
      <c r="K41" s="1">
        <v>0</v>
      </c>
    </row>
    <row r="42" spans="1:11" x14ac:dyDescent="0.35">
      <c r="A42" s="1" t="s">
        <v>293</v>
      </c>
      <c r="B42" s="1" t="s">
        <v>111</v>
      </c>
      <c r="C42" s="1">
        <v>70</v>
      </c>
      <c r="D42" s="1">
        <v>40</v>
      </c>
      <c r="E42" s="1">
        <v>7</v>
      </c>
      <c r="F42" s="1">
        <v>3</v>
      </c>
      <c r="G42" s="1">
        <v>175</v>
      </c>
      <c r="H42" s="1">
        <v>0</v>
      </c>
      <c r="I42" s="1">
        <v>0</v>
      </c>
      <c r="J42" s="1">
        <v>0</v>
      </c>
      <c r="K42" s="1">
        <v>0</v>
      </c>
    </row>
    <row r="43" spans="1:11" x14ac:dyDescent="0.35">
      <c r="A43" s="1" t="s">
        <v>295</v>
      </c>
      <c r="B43" s="1" t="s">
        <v>71</v>
      </c>
      <c r="C43" s="1">
        <v>90</v>
      </c>
      <c r="D43" s="1">
        <v>50</v>
      </c>
      <c r="E43" s="1">
        <v>9</v>
      </c>
      <c r="F43" s="1">
        <v>4</v>
      </c>
      <c r="G43" s="1">
        <v>180</v>
      </c>
      <c r="H43" s="1">
        <v>0</v>
      </c>
      <c r="I43" s="1">
        <v>0</v>
      </c>
      <c r="J43" s="1">
        <v>0</v>
      </c>
      <c r="K43" s="1">
        <v>0</v>
      </c>
    </row>
    <row r="44" spans="1:11" x14ac:dyDescent="0.35">
      <c r="A44" s="1" t="s">
        <v>297</v>
      </c>
      <c r="B44" s="1" t="s">
        <v>51</v>
      </c>
      <c r="C44" s="1">
        <v>0</v>
      </c>
      <c r="D44" s="1">
        <v>0</v>
      </c>
      <c r="E44" s="1">
        <v>0</v>
      </c>
      <c r="F44" s="1">
        <v>0</v>
      </c>
      <c r="G44" s="1">
        <v>0</v>
      </c>
      <c r="H44" s="1">
        <v>4</v>
      </c>
      <c r="I44" s="1">
        <v>25</v>
      </c>
      <c r="J44" s="1">
        <v>3</v>
      </c>
      <c r="K44" s="1">
        <v>6.25</v>
      </c>
    </row>
    <row r="45" spans="1:11" x14ac:dyDescent="0.35">
      <c r="A45" s="1" t="s">
        <v>299</v>
      </c>
      <c r="B45" s="1" t="s">
        <v>59</v>
      </c>
      <c r="C45" s="1">
        <v>105</v>
      </c>
      <c r="D45" s="1">
        <v>55</v>
      </c>
      <c r="E45" s="1">
        <v>10</v>
      </c>
      <c r="F45" s="1">
        <v>5</v>
      </c>
      <c r="G45" s="1">
        <v>190.91</v>
      </c>
      <c r="H45" s="1">
        <v>0</v>
      </c>
      <c r="I45" s="1">
        <v>0</v>
      </c>
      <c r="J45" s="1">
        <v>0</v>
      </c>
      <c r="K45" s="1">
        <v>0</v>
      </c>
    </row>
    <row r="46" spans="1:11" x14ac:dyDescent="0.35">
      <c r="A46" s="1" t="s">
        <v>301</v>
      </c>
      <c r="B46" s="1" t="s">
        <v>119</v>
      </c>
      <c r="C46" s="1">
        <v>95</v>
      </c>
      <c r="D46" s="1">
        <v>58</v>
      </c>
      <c r="E46" s="1">
        <v>10</v>
      </c>
      <c r="F46" s="1">
        <v>4</v>
      </c>
      <c r="G46" s="1">
        <v>163.79</v>
      </c>
      <c r="H46" s="1">
        <v>0</v>
      </c>
      <c r="I46" s="1">
        <v>0</v>
      </c>
      <c r="J46" s="1">
        <v>0</v>
      </c>
      <c r="K46" s="1">
        <v>0</v>
      </c>
    </row>
    <row r="47" spans="1:11" x14ac:dyDescent="0.35">
      <c r="A47" s="1" t="s">
        <v>303</v>
      </c>
      <c r="B47" s="1" t="s">
        <v>34</v>
      </c>
      <c r="C47" s="1">
        <v>58</v>
      </c>
      <c r="D47" s="1">
        <v>32</v>
      </c>
      <c r="E47" s="1">
        <v>6</v>
      </c>
      <c r="F47" s="1">
        <v>3</v>
      </c>
      <c r="G47" s="1">
        <v>181.25</v>
      </c>
      <c r="H47" s="1">
        <v>0</v>
      </c>
      <c r="I47" s="1">
        <v>0</v>
      </c>
      <c r="J47" s="1">
        <v>0</v>
      </c>
      <c r="K47" s="1">
        <v>0</v>
      </c>
    </row>
    <row r="48" spans="1:11" x14ac:dyDescent="0.35">
      <c r="A48" s="1" t="s">
        <v>305</v>
      </c>
      <c r="B48" s="1" t="s">
        <v>63</v>
      </c>
      <c r="C48" s="1">
        <v>34</v>
      </c>
      <c r="D48" s="1">
        <v>18</v>
      </c>
      <c r="E48" s="1">
        <v>2</v>
      </c>
      <c r="F48" s="1">
        <v>3</v>
      </c>
      <c r="G48" s="1">
        <v>188.89</v>
      </c>
      <c r="H48" s="1">
        <v>4</v>
      </c>
      <c r="I48" s="1">
        <v>38</v>
      </c>
      <c r="J48" s="1">
        <v>3</v>
      </c>
      <c r="K48" s="1">
        <v>9.5</v>
      </c>
    </row>
    <row r="49" spans="1:11" x14ac:dyDescent="0.35">
      <c r="A49" s="1" t="s">
        <v>307</v>
      </c>
      <c r="B49" s="1" t="s">
        <v>84</v>
      </c>
      <c r="C49" s="1">
        <v>65</v>
      </c>
      <c r="D49" s="1">
        <v>40</v>
      </c>
      <c r="E49" s="1">
        <v>7</v>
      </c>
      <c r="F49" s="1">
        <v>2</v>
      </c>
      <c r="G49" s="1">
        <v>162.5</v>
      </c>
      <c r="H49" s="1">
        <v>0</v>
      </c>
      <c r="I49" s="1">
        <v>0</v>
      </c>
      <c r="J49" s="1">
        <v>0</v>
      </c>
      <c r="K49" s="1">
        <v>0</v>
      </c>
    </row>
    <row r="50" spans="1:11" x14ac:dyDescent="0.35">
      <c r="A50" s="1" t="s">
        <v>309</v>
      </c>
      <c r="B50" s="1" t="s">
        <v>95</v>
      </c>
      <c r="C50" s="1">
        <v>88</v>
      </c>
      <c r="D50" s="1">
        <v>52</v>
      </c>
      <c r="E50" s="1">
        <v>8</v>
      </c>
      <c r="F50" s="1">
        <v>3</v>
      </c>
      <c r="G50" s="1">
        <v>169.23</v>
      </c>
      <c r="H50" s="1">
        <v>0</v>
      </c>
      <c r="I50" s="1">
        <v>0</v>
      </c>
      <c r="J50" s="1">
        <v>0</v>
      </c>
      <c r="K50" s="1">
        <v>0</v>
      </c>
    </row>
    <row r="51" spans="1:11" x14ac:dyDescent="0.35">
      <c r="A51" s="1" t="s">
        <v>311</v>
      </c>
      <c r="B51" s="1" t="s">
        <v>66</v>
      </c>
      <c r="C51" s="1">
        <v>18</v>
      </c>
      <c r="D51" s="1">
        <v>10</v>
      </c>
      <c r="E51" s="1">
        <v>1</v>
      </c>
      <c r="F51" s="1">
        <v>1</v>
      </c>
      <c r="G51" s="1">
        <v>180</v>
      </c>
      <c r="H51" s="1">
        <v>4</v>
      </c>
      <c r="I51" s="1">
        <v>22</v>
      </c>
      <c r="J51" s="1">
        <v>2</v>
      </c>
      <c r="K51" s="1">
        <v>5.5</v>
      </c>
    </row>
    <row r="52" spans="1:11" x14ac:dyDescent="0.35">
      <c r="A52" s="1" t="s">
        <v>313</v>
      </c>
      <c r="B52" s="1" t="s">
        <v>37</v>
      </c>
      <c r="C52" s="1">
        <v>0</v>
      </c>
      <c r="D52" s="1">
        <v>0</v>
      </c>
      <c r="E52" s="1">
        <v>0</v>
      </c>
      <c r="F52" s="1">
        <v>0</v>
      </c>
      <c r="G52" s="1">
        <v>0</v>
      </c>
      <c r="H52" s="1">
        <v>4</v>
      </c>
      <c r="I52" s="1">
        <v>24</v>
      </c>
      <c r="J52" s="1">
        <v>3</v>
      </c>
      <c r="K52" s="1">
        <v>6</v>
      </c>
    </row>
    <row r="53" spans="1:11" x14ac:dyDescent="0.35">
      <c r="A53" s="1" t="s">
        <v>315</v>
      </c>
      <c r="B53" s="1" t="s">
        <v>117</v>
      </c>
      <c r="C53" s="1">
        <v>56</v>
      </c>
      <c r="D53" s="1">
        <v>28</v>
      </c>
      <c r="E53" s="1">
        <v>3</v>
      </c>
      <c r="F53" s="1">
        <v>5</v>
      </c>
      <c r="G53" s="1">
        <v>200</v>
      </c>
      <c r="H53" s="1">
        <v>0</v>
      </c>
      <c r="I53" s="1">
        <v>0</v>
      </c>
      <c r="J53" s="1">
        <v>0</v>
      </c>
      <c r="K53" s="1">
        <v>0</v>
      </c>
    </row>
    <row r="54" spans="1:11" x14ac:dyDescent="0.35">
      <c r="A54" s="1" t="s">
        <v>317</v>
      </c>
      <c r="B54" s="1" t="s">
        <v>68</v>
      </c>
      <c r="C54" s="1">
        <v>0</v>
      </c>
      <c r="D54" s="1">
        <v>0</v>
      </c>
      <c r="E54" s="1">
        <v>0</v>
      </c>
      <c r="F54" s="1">
        <v>0</v>
      </c>
      <c r="G54" s="1">
        <v>0</v>
      </c>
      <c r="H54" s="1">
        <v>3.3</v>
      </c>
      <c r="I54" s="1">
        <v>19</v>
      </c>
      <c r="J54" s="1">
        <v>4</v>
      </c>
      <c r="K54" s="1">
        <v>5.43</v>
      </c>
    </row>
    <row r="55" spans="1:11" x14ac:dyDescent="0.35">
      <c r="A55" s="1" t="s">
        <v>319</v>
      </c>
      <c r="B55" s="1" t="s">
        <v>75</v>
      </c>
      <c r="C55" s="1">
        <v>0</v>
      </c>
      <c r="D55" s="1">
        <v>0</v>
      </c>
      <c r="E55" s="1">
        <v>0</v>
      </c>
      <c r="F55" s="1">
        <v>0</v>
      </c>
      <c r="G55" s="1">
        <v>0</v>
      </c>
      <c r="H55" s="1">
        <v>4</v>
      </c>
      <c r="I55" s="1">
        <v>17</v>
      </c>
      <c r="J55" s="1">
        <v>2</v>
      </c>
      <c r="K55" s="1">
        <v>4.25</v>
      </c>
    </row>
    <row r="56" spans="1:11" x14ac:dyDescent="0.35">
      <c r="A56" s="1" t="s">
        <v>321</v>
      </c>
      <c r="B56" s="1" t="s">
        <v>98</v>
      </c>
      <c r="C56" s="1">
        <v>75</v>
      </c>
      <c r="D56" s="1">
        <v>45</v>
      </c>
      <c r="E56" s="1">
        <v>5</v>
      </c>
      <c r="F56" s="1">
        <v>4</v>
      </c>
      <c r="G56" s="1">
        <v>166.67</v>
      </c>
      <c r="H56" s="1">
        <v>0</v>
      </c>
      <c r="I56" s="1">
        <v>0</v>
      </c>
      <c r="J56" s="1">
        <v>0</v>
      </c>
      <c r="K56" s="1">
        <v>0</v>
      </c>
    </row>
    <row r="57" spans="1:11" x14ac:dyDescent="0.35">
      <c r="A57" s="1" t="s">
        <v>323</v>
      </c>
      <c r="B57" s="1" t="s">
        <v>41</v>
      </c>
      <c r="C57" s="1">
        <v>48</v>
      </c>
      <c r="D57" s="1">
        <v>32</v>
      </c>
      <c r="E57" s="1">
        <v>4</v>
      </c>
      <c r="F57" s="1">
        <v>1</v>
      </c>
      <c r="G57" s="1">
        <v>150</v>
      </c>
      <c r="H57" s="1">
        <v>0</v>
      </c>
      <c r="I57" s="1">
        <v>0</v>
      </c>
      <c r="J57" s="1">
        <v>0</v>
      </c>
      <c r="K57" s="1">
        <v>0</v>
      </c>
    </row>
    <row r="58" spans="1:11" x14ac:dyDescent="0.35">
      <c r="A58" s="1" t="s">
        <v>325</v>
      </c>
      <c r="B58" s="1" t="s">
        <v>47</v>
      </c>
      <c r="C58" s="1">
        <v>105</v>
      </c>
      <c r="D58" s="1">
        <v>60</v>
      </c>
      <c r="E58" s="1">
        <v>12</v>
      </c>
      <c r="F58" s="1">
        <v>3</v>
      </c>
      <c r="G58" s="1">
        <v>175</v>
      </c>
      <c r="H58" s="1">
        <v>0</v>
      </c>
      <c r="I58" s="1">
        <v>0</v>
      </c>
      <c r="J58" s="1">
        <v>0</v>
      </c>
      <c r="K58" s="1">
        <v>0</v>
      </c>
    </row>
    <row r="59" spans="1:11" x14ac:dyDescent="0.35">
      <c r="A59" s="1" t="s">
        <v>327</v>
      </c>
      <c r="B59" s="1" t="s">
        <v>8</v>
      </c>
      <c r="C59" s="1">
        <v>88</v>
      </c>
      <c r="D59" s="1">
        <v>48</v>
      </c>
      <c r="E59" s="1">
        <v>9</v>
      </c>
      <c r="F59" s="1">
        <v>4</v>
      </c>
      <c r="G59" s="1">
        <v>183.33</v>
      </c>
      <c r="H59" s="1">
        <v>0</v>
      </c>
      <c r="I59" s="1">
        <v>0</v>
      </c>
      <c r="J59" s="1">
        <v>0</v>
      </c>
      <c r="K59" s="1">
        <v>0</v>
      </c>
    </row>
    <row r="60" spans="1:11" x14ac:dyDescent="0.35">
      <c r="A60" s="1" t="s">
        <v>329</v>
      </c>
      <c r="B60" s="1" t="s">
        <v>111</v>
      </c>
      <c r="C60" s="1">
        <v>65</v>
      </c>
      <c r="D60" s="1">
        <v>40</v>
      </c>
      <c r="E60" s="1">
        <v>6</v>
      </c>
      <c r="F60" s="1">
        <v>2</v>
      </c>
      <c r="G60" s="1">
        <v>162.5</v>
      </c>
      <c r="H60" s="1">
        <v>0</v>
      </c>
      <c r="I60" s="1">
        <v>0</v>
      </c>
      <c r="J60" s="1">
        <v>0</v>
      </c>
      <c r="K60" s="1">
        <v>0</v>
      </c>
    </row>
    <row r="61" spans="1:11" x14ac:dyDescent="0.35">
      <c r="A61" s="1" t="s">
        <v>331</v>
      </c>
      <c r="B61" s="1" t="s">
        <v>101</v>
      </c>
      <c r="C61" s="1">
        <v>0</v>
      </c>
      <c r="D61" s="1">
        <v>0</v>
      </c>
      <c r="E61" s="1">
        <v>0</v>
      </c>
      <c r="F61" s="1">
        <v>0</v>
      </c>
      <c r="G61" s="1">
        <v>0</v>
      </c>
      <c r="H61" s="1">
        <v>4</v>
      </c>
      <c r="I61" s="1">
        <v>22</v>
      </c>
      <c r="J61" s="1">
        <v>3</v>
      </c>
      <c r="K61" s="1">
        <v>5.5</v>
      </c>
    </row>
    <row r="62" spans="1:11" x14ac:dyDescent="0.35">
      <c r="A62" s="1" t="s">
        <v>342</v>
      </c>
      <c r="B62" s="1" t="s">
        <v>34</v>
      </c>
      <c r="C62" s="1">
        <v>60</v>
      </c>
      <c r="D62" s="1">
        <v>35</v>
      </c>
      <c r="E62" s="1">
        <v>7</v>
      </c>
      <c r="F62" s="1">
        <v>2</v>
      </c>
      <c r="G62" s="1">
        <v>171.43</v>
      </c>
      <c r="H62" s="1">
        <v>0</v>
      </c>
      <c r="I62" s="1">
        <v>0</v>
      </c>
      <c r="J62" s="1">
        <v>0</v>
      </c>
      <c r="K62" s="1">
        <v>0</v>
      </c>
    </row>
    <row r="63" spans="1:11" x14ac:dyDescent="0.35">
      <c r="A63" s="1" t="s">
        <v>343</v>
      </c>
      <c r="B63" s="1" t="s">
        <v>119</v>
      </c>
      <c r="C63" s="1">
        <v>75</v>
      </c>
      <c r="D63" s="1">
        <v>45</v>
      </c>
      <c r="E63" s="1">
        <v>8</v>
      </c>
      <c r="F63" s="1">
        <v>3</v>
      </c>
      <c r="G63" s="1">
        <v>166.67</v>
      </c>
      <c r="H63" s="1">
        <v>0</v>
      </c>
      <c r="I63" s="1">
        <v>0</v>
      </c>
      <c r="J63" s="1">
        <v>0</v>
      </c>
      <c r="K63" s="1">
        <v>0</v>
      </c>
    </row>
    <row r="64" spans="1:11" x14ac:dyDescent="0.35">
      <c r="A64" s="1" t="s">
        <v>344</v>
      </c>
      <c r="B64" s="1" t="s">
        <v>63</v>
      </c>
      <c r="C64" s="1">
        <v>45</v>
      </c>
      <c r="D64" s="1">
        <v>25</v>
      </c>
      <c r="E64" s="1">
        <v>3</v>
      </c>
      <c r="F64" s="1">
        <v>4</v>
      </c>
      <c r="G64" s="1">
        <v>180</v>
      </c>
      <c r="H64" s="1">
        <v>4</v>
      </c>
      <c r="I64" s="1">
        <v>35</v>
      </c>
      <c r="J64" s="1">
        <v>2</v>
      </c>
      <c r="K64" s="1">
        <v>8.75</v>
      </c>
    </row>
    <row r="65" spans="1:11" x14ac:dyDescent="0.35">
      <c r="A65" s="1" t="s">
        <v>345</v>
      </c>
      <c r="B65" s="1" t="s">
        <v>84</v>
      </c>
      <c r="C65" s="1">
        <v>90</v>
      </c>
      <c r="D65" s="1">
        <v>50</v>
      </c>
      <c r="E65" s="1">
        <v>9</v>
      </c>
      <c r="F65" s="1">
        <v>3</v>
      </c>
      <c r="G65" s="1">
        <v>180</v>
      </c>
      <c r="H65" s="1">
        <v>0</v>
      </c>
      <c r="I65" s="1">
        <v>0</v>
      </c>
      <c r="J65" s="1">
        <v>0</v>
      </c>
      <c r="K65" s="1">
        <v>0</v>
      </c>
    </row>
    <row r="66" spans="1:11" x14ac:dyDescent="0.35">
      <c r="A66" s="1" t="s">
        <v>346</v>
      </c>
      <c r="B66" s="1" t="s">
        <v>95</v>
      </c>
      <c r="C66" s="1">
        <v>50</v>
      </c>
      <c r="D66" s="1">
        <v>30</v>
      </c>
      <c r="E66" s="1">
        <v>5</v>
      </c>
      <c r="F66" s="1">
        <v>2</v>
      </c>
      <c r="G66" s="1">
        <v>166.67</v>
      </c>
      <c r="H66" s="1">
        <v>0</v>
      </c>
      <c r="I66" s="1">
        <v>0</v>
      </c>
      <c r="J66" s="1">
        <v>0</v>
      </c>
      <c r="K66" s="1">
        <v>0</v>
      </c>
    </row>
    <row r="67" spans="1:11" x14ac:dyDescent="0.35">
      <c r="A67" s="1" t="s">
        <v>347</v>
      </c>
      <c r="B67" s="1" t="s">
        <v>66</v>
      </c>
      <c r="C67" s="1">
        <v>25</v>
      </c>
      <c r="D67" s="1">
        <v>15</v>
      </c>
      <c r="E67" s="1">
        <v>2</v>
      </c>
      <c r="F67" s="1">
        <v>2</v>
      </c>
      <c r="G67" s="1">
        <v>166.67</v>
      </c>
      <c r="H67" s="1">
        <v>4</v>
      </c>
      <c r="I67" s="1">
        <v>20</v>
      </c>
      <c r="J67" s="1">
        <v>3</v>
      </c>
      <c r="K67" s="1">
        <v>5</v>
      </c>
    </row>
    <row r="68" spans="1:11" x14ac:dyDescent="0.35">
      <c r="A68" s="1" t="s">
        <v>348</v>
      </c>
      <c r="B68" s="1" t="s">
        <v>37</v>
      </c>
      <c r="C68" s="1">
        <v>0</v>
      </c>
      <c r="D68" s="1">
        <v>0</v>
      </c>
      <c r="E68" s="1">
        <v>0</v>
      </c>
      <c r="F68" s="1">
        <v>0</v>
      </c>
      <c r="G68" s="1">
        <v>0</v>
      </c>
      <c r="H68" s="1">
        <v>4</v>
      </c>
      <c r="I68" s="1">
        <v>25</v>
      </c>
      <c r="J68" s="1">
        <v>3</v>
      </c>
      <c r="K68" s="1">
        <v>6.25</v>
      </c>
    </row>
    <row r="69" spans="1:11" x14ac:dyDescent="0.35">
      <c r="A69" s="1" t="s">
        <v>349</v>
      </c>
      <c r="B69" s="1" t="s">
        <v>117</v>
      </c>
      <c r="C69" s="1">
        <v>40</v>
      </c>
      <c r="D69" s="1">
        <v>20</v>
      </c>
      <c r="E69" s="1">
        <v>4</v>
      </c>
      <c r="F69" s="1">
        <v>3</v>
      </c>
      <c r="G69" s="1">
        <v>200</v>
      </c>
      <c r="H69" s="1">
        <v>0</v>
      </c>
      <c r="I69" s="1">
        <v>0</v>
      </c>
      <c r="J69" s="1">
        <v>0</v>
      </c>
      <c r="K69" s="1">
        <v>0</v>
      </c>
    </row>
    <row r="70" spans="1:11" x14ac:dyDescent="0.35">
      <c r="A70" s="1" t="s">
        <v>350</v>
      </c>
      <c r="B70" s="1" t="s">
        <v>68</v>
      </c>
      <c r="C70" s="1">
        <v>0</v>
      </c>
      <c r="D70" s="1">
        <v>0</v>
      </c>
      <c r="E70" s="1">
        <v>0</v>
      </c>
      <c r="F70" s="1">
        <v>0</v>
      </c>
      <c r="G70" s="1">
        <v>0</v>
      </c>
      <c r="H70" s="1">
        <v>4</v>
      </c>
      <c r="I70" s="1">
        <v>22</v>
      </c>
      <c r="J70" s="1">
        <v>3</v>
      </c>
      <c r="K70" s="1">
        <v>5.5</v>
      </c>
    </row>
    <row r="71" spans="1:11" x14ac:dyDescent="0.35">
      <c r="A71" s="1" t="s">
        <v>351</v>
      </c>
      <c r="B71" s="1" t="s">
        <v>75</v>
      </c>
      <c r="C71" s="1">
        <v>0</v>
      </c>
      <c r="D71" s="1">
        <v>0</v>
      </c>
      <c r="E71" s="1">
        <v>0</v>
      </c>
      <c r="F71" s="1">
        <v>0</v>
      </c>
      <c r="G71" s="1">
        <v>0</v>
      </c>
      <c r="H71" s="1">
        <v>4</v>
      </c>
      <c r="I71" s="1">
        <v>15</v>
      </c>
      <c r="J71" s="1">
        <v>2</v>
      </c>
      <c r="K71" s="1">
        <v>3.75</v>
      </c>
    </row>
    <row r="72" spans="1:11" x14ac:dyDescent="0.35">
      <c r="A72" s="1" t="s">
        <v>352</v>
      </c>
      <c r="B72" s="1" t="s">
        <v>98</v>
      </c>
      <c r="C72" s="1">
        <v>65</v>
      </c>
      <c r="D72" s="1">
        <v>40</v>
      </c>
      <c r="E72" s="1">
        <v>6</v>
      </c>
      <c r="F72" s="1">
        <v>3</v>
      </c>
      <c r="G72" s="1">
        <v>162.5</v>
      </c>
      <c r="H72" s="1">
        <v>0</v>
      </c>
      <c r="I72" s="1">
        <v>0</v>
      </c>
      <c r="J72" s="1">
        <v>0</v>
      </c>
      <c r="K72" s="1">
        <v>0</v>
      </c>
    </row>
    <row r="73" spans="1:11" x14ac:dyDescent="0.35">
      <c r="A73" s="1" t="s">
        <v>353</v>
      </c>
      <c r="B73" s="1" t="s">
        <v>41</v>
      </c>
      <c r="C73" s="1">
        <v>55</v>
      </c>
      <c r="D73" s="1">
        <v>35</v>
      </c>
      <c r="E73" s="1">
        <v>5</v>
      </c>
      <c r="F73" s="1">
        <v>2</v>
      </c>
      <c r="G73" s="1">
        <v>157.13999999999999</v>
      </c>
      <c r="H73" s="1">
        <v>0</v>
      </c>
      <c r="I73" s="1">
        <v>0</v>
      </c>
      <c r="J73" s="1">
        <v>0</v>
      </c>
      <c r="K73" s="1">
        <v>0</v>
      </c>
    </row>
    <row r="74" spans="1:11" x14ac:dyDescent="0.35">
      <c r="A74" s="1" t="s">
        <v>354</v>
      </c>
      <c r="B74" s="1" t="s">
        <v>47</v>
      </c>
      <c r="C74" s="1">
        <v>85</v>
      </c>
      <c r="D74" s="1">
        <v>50</v>
      </c>
      <c r="E74" s="1">
        <v>8</v>
      </c>
      <c r="F74" s="1">
        <v>3</v>
      </c>
      <c r="G74" s="1">
        <v>170</v>
      </c>
      <c r="H74" s="1">
        <v>0</v>
      </c>
      <c r="I74" s="1">
        <v>0</v>
      </c>
      <c r="J74" s="1">
        <v>0</v>
      </c>
      <c r="K74" s="1">
        <v>0</v>
      </c>
    </row>
    <row r="75" spans="1:11" x14ac:dyDescent="0.35">
      <c r="A75" s="1" t="s">
        <v>355</v>
      </c>
      <c r="B75" s="1" t="s">
        <v>8</v>
      </c>
      <c r="C75" s="1">
        <v>70</v>
      </c>
      <c r="D75" s="1">
        <v>45</v>
      </c>
      <c r="E75" s="1">
        <v>7</v>
      </c>
      <c r="F75" s="1">
        <v>3</v>
      </c>
      <c r="G75" s="1">
        <v>155.56</v>
      </c>
      <c r="H75" s="1">
        <v>0</v>
      </c>
      <c r="I75" s="1">
        <v>0</v>
      </c>
      <c r="J75" s="1">
        <v>0</v>
      </c>
      <c r="K75" s="1">
        <v>0</v>
      </c>
    </row>
    <row r="76" spans="1:11" x14ac:dyDescent="0.35">
      <c r="A76" s="1" t="s">
        <v>356</v>
      </c>
      <c r="B76" s="1" t="s">
        <v>111</v>
      </c>
      <c r="C76" s="1">
        <v>55</v>
      </c>
      <c r="D76" s="1">
        <v>35</v>
      </c>
      <c r="E76" s="1">
        <v>5</v>
      </c>
      <c r="F76" s="1">
        <v>2</v>
      </c>
      <c r="G76" s="1">
        <v>157.13999999999999</v>
      </c>
      <c r="H76" s="1">
        <v>0</v>
      </c>
      <c r="I76" s="1">
        <v>0</v>
      </c>
      <c r="J76" s="1">
        <v>0</v>
      </c>
      <c r="K76" s="1">
        <v>0</v>
      </c>
    </row>
    <row r="77" spans="1:11" x14ac:dyDescent="0.35">
      <c r="A77" s="1" t="s">
        <v>357</v>
      </c>
      <c r="B77" s="1" t="s">
        <v>101</v>
      </c>
      <c r="C77" s="1">
        <v>0</v>
      </c>
      <c r="D77" s="1">
        <v>0</v>
      </c>
      <c r="E77" s="1">
        <v>0</v>
      </c>
      <c r="F77" s="1">
        <v>0</v>
      </c>
      <c r="G77" s="1">
        <v>0</v>
      </c>
      <c r="H77" s="1">
        <v>4</v>
      </c>
      <c r="I77" s="1">
        <v>28</v>
      </c>
      <c r="J77" s="1">
        <v>3</v>
      </c>
      <c r="K77" s="1">
        <v>7</v>
      </c>
    </row>
    <row r="78" spans="1:11" x14ac:dyDescent="0.35">
      <c r="A78" s="1" t="s">
        <v>358</v>
      </c>
      <c r="B78" s="1" t="s">
        <v>16</v>
      </c>
      <c r="C78" s="1">
        <v>0</v>
      </c>
      <c r="D78" s="1">
        <v>0</v>
      </c>
      <c r="E78" s="1">
        <v>0</v>
      </c>
      <c r="F78" s="1">
        <v>0</v>
      </c>
      <c r="G78" s="1">
        <v>0</v>
      </c>
      <c r="H78" s="1">
        <v>4</v>
      </c>
      <c r="I78" s="1">
        <v>25</v>
      </c>
      <c r="J78" s="1">
        <v>2</v>
      </c>
      <c r="K78" s="1">
        <v>6.25</v>
      </c>
    </row>
    <row r="79" spans="1:11" x14ac:dyDescent="0.35">
      <c r="A79" s="1" t="s">
        <v>359</v>
      </c>
      <c r="B79" s="1" t="s">
        <v>115</v>
      </c>
      <c r="C79" s="1">
        <v>0</v>
      </c>
      <c r="D79" s="1">
        <v>0</v>
      </c>
      <c r="E79" s="1">
        <v>0</v>
      </c>
      <c r="F79" s="1">
        <v>0</v>
      </c>
      <c r="G79" s="1">
        <v>0</v>
      </c>
      <c r="H79" s="1">
        <v>4</v>
      </c>
      <c r="I79" s="1">
        <v>35</v>
      </c>
      <c r="J79" s="1">
        <v>1</v>
      </c>
      <c r="K79" s="1">
        <v>8.75</v>
      </c>
    </row>
    <row r="80" spans="1:11" x14ac:dyDescent="0.35">
      <c r="A80" s="1" t="s">
        <v>360</v>
      </c>
      <c r="B80" s="1" t="s">
        <v>47</v>
      </c>
      <c r="C80" s="1">
        <v>90</v>
      </c>
      <c r="D80" s="1">
        <v>55</v>
      </c>
      <c r="E80" s="1">
        <v>9</v>
      </c>
      <c r="F80" s="1">
        <v>3</v>
      </c>
      <c r="G80" s="1">
        <v>163.63999999999999</v>
      </c>
      <c r="H80" s="1">
        <v>0</v>
      </c>
      <c r="I80" s="1">
        <v>0</v>
      </c>
      <c r="J80" s="1">
        <v>0</v>
      </c>
      <c r="K80" s="1">
        <v>0</v>
      </c>
    </row>
    <row r="81" spans="1:11" x14ac:dyDescent="0.35">
      <c r="A81" s="1" t="s">
        <v>361</v>
      </c>
      <c r="B81" s="1" t="s">
        <v>21</v>
      </c>
      <c r="C81" s="1">
        <v>45</v>
      </c>
      <c r="D81" s="1">
        <v>30</v>
      </c>
      <c r="E81" s="1">
        <v>4</v>
      </c>
      <c r="F81" s="1">
        <v>2</v>
      </c>
      <c r="G81" s="1">
        <v>150</v>
      </c>
      <c r="H81" s="1">
        <v>0</v>
      </c>
      <c r="I81" s="1">
        <v>0</v>
      </c>
      <c r="J81" s="1">
        <v>0</v>
      </c>
      <c r="K81" s="1">
        <v>0</v>
      </c>
    </row>
    <row r="82" spans="1:11" x14ac:dyDescent="0.35">
      <c r="A82" s="1" t="s">
        <v>362</v>
      </c>
      <c r="B82" s="1" t="s">
        <v>27</v>
      </c>
      <c r="C82" s="1">
        <v>50</v>
      </c>
      <c r="D82" s="1">
        <v>30</v>
      </c>
      <c r="E82" s="1">
        <v>5</v>
      </c>
      <c r="F82" s="1">
        <v>2</v>
      </c>
      <c r="G82" s="1">
        <v>166.67</v>
      </c>
      <c r="H82" s="1">
        <v>0</v>
      </c>
      <c r="I82" s="1">
        <v>0</v>
      </c>
      <c r="J82" s="1">
        <v>0</v>
      </c>
      <c r="K82" s="1">
        <v>0</v>
      </c>
    </row>
    <row r="83" spans="1:11" x14ac:dyDescent="0.35">
      <c r="A83" s="1" t="s">
        <v>363</v>
      </c>
      <c r="B83" s="1" t="s">
        <v>81</v>
      </c>
      <c r="C83" s="1">
        <v>0</v>
      </c>
      <c r="D83" s="1">
        <v>0</v>
      </c>
      <c r="E83" s="1">
        <v>0</v>
      </c>
      <c r="F83" s="1">
        <v>0</v>
      </c>
      <c r="G83" s="1">
        <v>0</v>
      </c>
      <c r="H83" s="1">
        <v>4</v>
      </c>
      <c r="I83" s="1">
        <v>20</v>
      </c>
      <c r="J83" s="1">
        <v>3</v>
      </c>
      <c r="K83" s="1">
        <v>5</v>
      </c>
    </row>
    <row r="84" spans="1:11" x14ac:dyDescent="0.35">
      <c r="A84" s="1" t="s">
        <v>364</v>
      </c>
      <c r="B84" s="1" t="s">
        <v>107</v>
      </c>
      <c r="C84" s="1">
        <v>0</v>
      </c>
      <c r="D84" s="1">
        <v>0</v>
      </c>
      <c r="E84" s="1">
        <v>0</v>
      </c>
      <c r="F84" s="1">
        <v>0</v>
      </c>
      <c r="G84" s="1">
        <v>0</v>
      </c>
      <c r="H84" s="1">
        <v>4</v>
      </c>
      <c r="I84" s="1">
        <v>22</v>
      </c>
      <c r="J84" s="1">
        <v>2</v>
      </c>
      <c r="K84" s="1">
        <v>5.5</v>
      </c>
    </row>
    <row r="85" spans="1:11" x14ac:dyDescent="0.35">
      <c r="A85" s="1" t="s">
        <v>365</v>
      </c>
      <c r="B85" s="1" t="s">
        <v>63</v>
      </c>
      <c r="C85" s="1">
        <v>80</v>
      </c>
      <c r="D85" s="1">
        <v>40</v>
      </c>
      <c r="E85" s="1">
        <v>8</v>
      </c>
      <c r="F85" s="1">
        <v>4</v>
      </c>
      <c r="G85" s="1">
        <v>200</v>
      </c>
      <c r="H85" s="1">
        <v>4</v>
      </c>
      <c r="I85" s="1">
        <v>30</v>
      </c>
      <c r="J85" s="1">
        <v>1</v>
      </c>
      <c r="K85" s="1">
        <v>7.5</v>
      </c>
    </row>
    <row r="86" spans="1:11" x14ac:dyDescent="0.35">
      <c r="A86" s="1" t="s">
        <v>366</v>
      </c>
      <c r="B86" s="1" t="s">
        <v>117</v>
      </c>
      <c r="C86" s="1">
        <v>65</v>
      </c>
      <c r="D86" s="1">
        <v>35</v>
      </c>
      <c r="E86" s="1">
        <v>6</v>
      </c>
      <c r="F86" s="1">
        <v>4</v>
      </c>
      <c r="G86" s="1">
        <v>185.71</v>
      </c>
      <c r="H86" s="1">
        <v>0</v>
      </c>
      <c r="I86" s="1">
        <v>0</v>
      </c>
      <c r="J86" s="1">
        <v>0</v>
      </c>
      <c r="K86" s="1">
        <v>0</v>
      </c>
    </row>
    <row r="87" spans="1:11" x14ac:dyDescent="0.35">
      <c r="A87" s="1" t="s">
        <v>367</v>
      </c>
      <c r="B87" s="1" t="s">
        <v>31</v>
      </c>
      <c r="C87" s="1">
        <v>40</v>
      </c>
      <c r="D87" s="1">
        <v>25</v>
      </c>
      <c r="E87" s="1">
        <v>3</v>
      </c>
      <c r="F87" s="1">
        <v>2</v>
      </c>
      <c r="G87" s="1">
        <v>160</v>
      </c>
      <c r="H87" s="1">
        <v>4</v>
      </c>
      <c r="I87" s="1">
        <v>30</v>
      </c>
      <c r="J87" s="1">
        <v>2</v>
      </c>
      <c r="K87" s="1">
        <v>7.5</v>
      </c>
    </row>
    <row r="88" spans="1:11" x14ac:dyDescent="0.35">
      <c r="A88" s="1" t="s">
        <v>368</v>
      </c>
      <c r="B88" s="1" t="s">
        <v>91</v>
      </c>
      <c r="C88" s="1">
        <v>0</v>
      </c>
      <c r="D88" s="1">
        <v>0</v>
      </c>
      <c r="E88" s="1">
        <v>0</v>
      </c>
      <c r="F88" s="1">
        <v>0</v>
      </c>
      <c r="G88" s="1">
        <v>0</v>
      </c>
      <c r="H88" s="1">
        <v>3.5</v>
      </c>
      <c r="I88" s="1">
        <v>15</v>
      </c>
      <c r="J88" s="1">
        <v>3</v>
      </c>
      <c r="K88" s="1">
        <v>3.86</v>
      </c>
    </row>
    <row r="89" spans="1:11" x14ac:dyDescent="0.35">
      <c r="A89" s="1" t="s">
        <v>369</v>
      </c>
      <c r="B89" s="1" t="s">
        <v>79</v>
      </c>
      <c r="C89" s="1">
        <v>55</v>
      </c>
      <c r="D89" s="1">
        <v>30</v>
      </c>
      <c r="E89" s="1">
        <v>5</v>
      </c>
      <c r="F89" s="1">
        <v>3</v>
      </c>
      <c r="G89" s="1">
        <v>183.33</v>
      </c>
      <c r="H89" s="1">
        <v>0</v>
      </c>
      <c r="I89" s="1">
        <v>0</v>
      </c>
      <c r="J89" s="1">
        <v>0</v>
      </c>
      <c r="K89" s="1">
        <v>0</v>
      </c>
    </row>
    <row r="90" spans="1:11" x14ac:dyDescent="0.35">
      <c r="A90" s="1" t="s">
        <v>370</v>
      </c>
      <c r="B90" s="1" t="s">
        <v>47</v>
      </c>
      <c r="C90" s="1">
        <v>70</v>
      </c>
      <c r="D90" s="1">
        <v>40</v>
      </c>
      <c r="E90" s="1">
        <v>7</v>
      </c>
      <c r="F90" s="1">
        <v>3</v>
      </c>
      <c r="G90" s="1">
        <v>175</v>
      </c>
      <c r="H90" s="1">
        <v>0</v>
      </c>
      <c r="I90" s="1">
        <v>0</v>
      </c>
      <c r="J90" s="1">
        <v>0</v>
      </c>
      <c r="K90" s="1">
        <v>0</v>
      </c>
    </row>
    <row r="91" spans="1:11" x14ac:dyDescent="0.35">
      <c r="A91" s="1" t="s">
        <v>371</v>
      </c>
      <c r="B91" s="1" t="s">
        <v>95</v>
      </c>
      <c r="C91" s="1">
        <v>60</v>
      </c>
      <c r="D91" s="1">
        <v>40</v>
      </c>
      <c r="E91" s="1">
        <v>6</v>
      </c>
      <c r="F91" s="1">
        <v>2</v>
      </c>
      <c r="G91" s="1">
        <v>150</v>
      </c>
      <c r="H91" s="1">
        <v>0</v>
      </c>
      <c r="I91" s="1">
        <v>0</v>
      </c>
      <c r="J91" s="1">
        <v>0</v>
      </c>
      <c r="K91" s="1">
        <v>0</v>
      </c>
    </row>
    <row r="92" spans="1:11" x14ac:dyDescent="0.35">
      <c r="A92" s="1" t="s">
        <v>372</v>
      </c>
      <c r="B92" s="1" t="s">
        <v>111</v>
      </c>
      <c r="C92" s="1">
        <v>80</v>
      </c>
      <c r="D92" s="1">
        <v>45</v>
      </c>
      <c r="E92" s="1">
        <v>8</v>
      </c>
      <c r="F92" s="1">
        <v>3</v>
      </c>
      <c r="G92" s="1">
        <v>177.78</v>
      </c>
      <c r="H92" s="1">
        <v>0</v>
      </c>
      <c r="I92" s="1">
        <v>0</v>
      </c>
      <c r="J92" s="1">
        <v>0</v>
      </c>
      <c r="K92" s="1">
        <v>0</v>
      </c>
    </row>
    <row r="93" spans="1:11" x14ac:dyDescent="0.35">
      <c r="A93" s="1" t="s">
        <v>373</v>
      </c>
      <c r="B93" s="1" t="s">
        <v>16</v>
      </c>
      <c r="C93" s="1">
        <v>0</v>
      </c>
      <c r="D93" s="1">
        <v>0</v>
      </c>
      <c r="E93" s="1">
        <v>0</v>
      </c>
      <c r="F93" s="1">
        <v>0</v>
      </c>
      <c r="G93" s="1">
        <v>0</v>
      </c>
      <c r="H93" s="1">
        <v>4</v>
      </c>
      <c r="I93" s="1">
        <v>28</v>
      </c>
      <c r="J93" s="1">
        <v>3</v>
      </c>
      <c r="K93" s="1">
        <v>7</v>
      </c>
    </row>
    <row r="94" spans="1:11" x14ac:dyDescent="0.35">
      <c r="A94" s="1" t="s">
        <v>374</v>
      </c>
      <c r="B94" s="1" t="s">
        <v>51</v>
      </c>
      <c r="C94" s="1">
        <v>0</v>
      </c>
      <c r="D94" s="1">
        <v>0</v>
      </c>
      <c r="E94" s="1">
        <v>0</v>
      </c>
      <c r="F94" s="1">
        <v>0</v>
      </c>
      <c r="G94" s="1">
        <v>0</v>
      </c>
      <c r="H94" s="1">
        <v>4</v>
      </c>
      <c r="I94" s="1">
        <v>30</v>
      </c>
      <c r="J94" s="1">
        <v>2</v>
      </c>
      <c r="K94" s="1">
        <v>7.5</v>
      </c>
    </row>
    <row r="95" spans="1:11" x14ac:dyDescent="0.35">
      <c r="A95" s="1" t="s">
        <v>375</v>
      </c>
      <c r="B95" s="1" t="s">
        <v>21</v>
      </c>
      <c r="C95" s="1">
        <v>50</v>
      </c>
      <c r="D95" s="1">
        <v>35</v>
      </c>
      <c r="E95" s="1">
        <v>5</v>
      </c>
      <c r="F95" s="1">
        <v>2</v>
      </c>
      <c r="G95" s="1">
        <v>142.86000000000001</v>
      </c>
      <c r="H95" s="1">
        <v>0</v>
      </c>
      <c r="I95" s="1">
        <v>0</v>
      </c>
      <c r="J95" s="1">
        <v>0</v>
      </c>
      <c r="K95" s="1">
        <v>0</v>
      </c>
    </row>
    <row r="96" spans="1:11" x14ac:dyDescent="0.35">
      <c r="A96" s="1" t="s">
        <v>376</v>
      </c>
      <c r="B96" s="1" t="s">
        <v>119</v>
      </c>
      <c r="C96" s="1">
        <v>60</v>
      </c>
      <c r="D96" s="1">
        <v>40</v>
      </c>
      <c r="E96" s="1">
        <v>6</v>
      </c>
      <c r="F96" s="1">
        <v>2</v>
      </c>
      <c r="G96" s="1">
        <v>150</v>
      </c>
      <c r="H96" s="1">
        <v>0</v>
      </c>
      <c r="I96" s="1">
        <v>0</v>
      </c>
      <c r="J96" s="1">
        <v>0</v>
      </c>
      <c r="K96" s="1">
        <v>0</v>
      </c>
    </row>
    <row r="97" spans="1:11" x14ac:dyDescent="0.35">
      <c r="A97" s="1" t="s">
        <v>377</v>
      </c>
      <c r="B97" s="1" t="s">
        <v>59</v>
      </c>
      <c r="C97" s="1">
        <v>50</v>
      </c>
      <c r="D97" s="1">
        <v>30</v>
      </c>
      <c r="E97" s="1">
        <v>5</v>
      </c>
      <c r="F97" s="1">
        <v>2</v>
      </c>
      <c r="G97" s="1">
        <v>166.67</v>
      </c>
      <c r="H97" s="1">
        <v>0</v>
      </c>
      <c r="I97" s="1">
        <v>0</v>
      </c>
      <c r="J97" s="1">
        <v>0</v>
      </c>
      <c r="K97" s="1">
        <v>0</v>
      </c>
    </row>
    <row r="98" spans="1:11" x14ac:dyDescent="0.35">
      <c r="A98" s="1" t="s">
        <v>378</v>
      </c>
      <c r="B98" s="1" t="s">
        <v>34</v>
      </c>
      <c r="C98" s="1">
        <v>70</v>
      </c>
      <c r="D98" s="1">
        <v>40</v>
      </c>
      <c r="E98" s="1">
        <v>7</v>
      </c>
      <c r="F98" s="1">
        <v>3</v>
      </c>
      <c r="G98" s="1">
        <v>175</v>
      </c>
      <c r="H98" s="1">
        <v>0</v>
      </c>
      <c r="I98" s="1">
        <v>0</v>
      </c>
      <c r="J98" s="1">
        <v>0</v>
      </c>
      <c r="K98" s="1">
        <v>0</v>
      </c>
    </row>
    <row r="99" spans="1:11" x14ac:dyDescent="0.35">
      <c r="A99" s="1" t="s">
        <v>379</v>
      </c>
      <c r="B99" s="1" t="s">
        <v>84</v>
      </c>
      <c r="C99" s="1">
        <v>55</v>
      </c>
      <c r="D99" s="1">
        <v>35</v>
      </c>
      <c r="E99" s="1">
        <v>5</v>
      </c>
      <c r="F99" s="1">
        <v>2</v>
      </c>
      <c r="G99" s="1">
        <v>157.13999999999999</v>
      </c>
      <c r="H99" s="1">
        <v>0</v>
      </c>
      <c r="I99" s="1">
        <v>0</v>
      </c>
      <c r="J99" s="1">
        <v>0</v>
      </c>
      <c r="K99" s="1">
        <v>0</v>
      </c>
    </row>
    <row r="100" spans="1:11" x14ac:dyDescent="0.35">
      <c r="A100" s="1" t="s">
        <v>380</v>
      </c>
      <c r="B100" s="1" t="s">
        <v>63</v>
      </c>
      <c r="C100" s="1">
        <v>60</v>
      </c>
      <c r="D100" s="1">
        <v>30</v>
      </c>
      <c r="E100" s="1">
        <v>6</v>
      </c>
      <c r="F100" s="1">
        <v>4</v>
      </c>
      <c r="G100" s="1">
        <v>200</v>
      </c>
      <c r="H100" s="1">
        <v>4</v>
      </c>
      <c r="I100" s="1">
        <v>40</v>
      </c>
      <c r="J100" s="1">
        <v>1</v>
      </c>
      <c r="K100" s="1">
        <v>10</v>
      </c>
    </row>
    <row r="101" spans="1:11" x14ac:dyDescent="0.35">
      <c r="A101" s="1" t="s">
        <v>381</v>
      </c>
      <c r="B101" s="1" t="s">
        <v>101</v>
      </c>
      <c r="C101" s="1">
        <v>0</v>
      </c>
      <c r="D101" s="1">
        <v>0</v>
      </c>
      <c r="E101" s="1">
        <v>0</v>
      </c>
      <c r="F101" s="1">
        <v>0</v>
      </c>
      <c r="G101" s="1">
        <v>0</v>
      </c>
      <c r="H101" s="1">
        <v>4</v>
      </c>
      <c r="I101" s="1">
        <v>32</v>
      </c>
      <c r="J101" s="1">
        <v>2</v>
      </c>
      <c r="K101" s="1">
        <v>8</v>
      </c>
    </row>
    <row r="102" spans="1:11" x14ac:dyDescent="0.35">
      <c r="A102" s="1" t="s">
        <v>382</v>
      </c>
      <c r="B102" s="1" t="s">
        <v>84</v>
      </c>
      <c r="C102" s="1">
        <v>85</v>
      </c>
      <c r="D102" s="1">
        <v>45</v>
      </c>
      <c r="E102" s="1">
        <v>8</v>
      </c>
      <c r="F102" s="1">
        <v>4</v>
      </c>
      <c r="G102" s="1">
        <v>188.89</v>
      </c>
      <c r="H102" s="1">
        <v>0</v>
      </c>
      <c r="I102" s="1">
        <v>0</v>
      </c>
      <c r="J102" s="1">
        <v>0</v>
      </c>
      <c r="K102" s="1">
        <v>0</v>
      </c>
    </row>
    <row r="103" spans="1:11" x14ac:dyDescent="0.35">
      <c r="A103" s="1" t="s">
        <v>383</v>
      </c>
      <c r="B103" s="1" t="s">
        <v>16</v>
      </c>
      <c r="C103" s="1">
        <v>0</v>
      </c>
      <c r="D103" s="1">
        <v>0</v>
      </c>
      <c r="E103" s="1">
        <v>0</v>
      </c>
      <c r="F103" s="1">
        <v>0</v>
      </c>
      <c r="G103" s="1">
        <v>0</v>
      </c>
      <c r="H103" s="1">
        <v>4</v>
      </c>
      <c r="I103" s="1">
        <v>25</v>
      </c>
      <c r="J103" s="1">
        <v>3</v>
      </c>
      <c r="K103" s="1">
        <v>6.25</v>
      </c>
    </row>
    <row r="104" spans="1:11" x14ac:dyDescent="0.35">
      <c r="A104" s="1" t="s">
        <v>384</v>
      </c>
      <c r="B104" s="1" t="s">
        <v>95</v>
      </c>
      <c r="C104" s="1">
        <v>75</v>
      </c>
      <c r="D104" s="1">
        <v>40</v>
      </c>
      <c r="E104" s="1">
        <v>7</v>
      </c>
      <c r="F104" s="1">
        <v>3</v>
      </c>
      <c r="G104" s="1">
        <v>187.5</v>
      </c>
      <c r="H104" s="1">
        <v>0</v>
      </c>
      <c r="I104" s="1">
        <v>0</v>
      </c>
      <c r="J104" s="1">
        <v>0</v>
      </c>
      <c r="K104" s="1">
        <v>0</v>
      </c>
    </row>
    <row r="105" spans="1:11" x14ac:dyDescent="0.35">
      <c r="A105" s="1" t="s">
        <v>385</v>
      </c>
      <c r="B105" s="1" t="s">
        <v>47</v>
      </c>
      <c r="C105" s="1">
        <v>50</v>
      </c>
      <c r="D105" s="1">
        <v>30</v>
      </c>
      <c r="E105" s="1">
        <v>5</v>
      </c>
      <c r="F105" s="1">
        <v>2</v>
      </c>
      <c r="G105" s="1">
        <v>166.67</v>
      </c>
      <c r="H105" s="1">
        <v>0</v>
      </c>
      <c r="I105" s="1">
        <v>0</v>
      </c>
      <c r="J105" s="1">
        <v>0</v>
      </c>
      <c r="K105" s="1">
        <v>0</v>
      </c>
    </row>
    <row r="106" spans="1:11" x14ac:dyDescent="0.35">
      <c r="A106" s="1" t="s">
        <v>386</v>
      </c>
      <c r="B106" s="1" t="s">
        <v>66</v>
      </c>
      <c r="C106" s="1">
        <v>30</v>
      </c>
      <c r="D106" s="1">
        <v>15</v>
      </c>
      <c r="E106" s="1">
        <v>3</v>
      </c>
      <c r="F106" s="1">
        <v>2</v>
      </c>
      <c r="G106" s="1">
        <v>200</v>
      </c>
      <c r="H106" s="1">
        <v>4</v>
      </c>
      <c r="I106" s="1">
        <v>28</v>
      </c>
      <c r="J106" s="1">
        <v>2</v>
      </c>
      <c r="K106" s="1">
        <v>7</v>
      </c>
    </row>
    <row r="107" spans="1:11" x14ac:dyDescent="0.35">
      <c r="A107" s="1" t="s">
        <v>387</v>
      </c>
      <c r="B107" s="1" t="s">
        <v>81</v>
      </c>
      <c r="C107" s="1">
        <v>0</v>
      </c>
      <c r="D107" s="1">
        <v>0</v>
      </c>
      <c r="E107" s="1">
        <v>0</v>
      </c>
      <c r="F107" s="1">
        <v>0</v>
      </c>
      <c r="G107" s="1">
        <v>0</v>
      </c>
      <c r="H107" s="1">
        <v>4</v>
      </c>
      <c r="I107" s="1">
        <v>22</v>
      </c>
      <c r="J107" s="1">
        <v>2</v>
      </c>
      <c r="K107" s="1">
        <v>5.5</v>
      </c>
    </row>
    <row r="108" spans="1:11" x14ac:dyDescent="0.35">
      <c r="A108" s="1" t="s">
        <v>388</v>
      </c>
      <c r="B108" s="1" t="s">
        <v>37</v>
      </c>
      <c r="C108" s="1">
        <v>0</v>
      </c>
      <c r="D108" s="1">
        <v>0</v>
      </c>
      <c r="E108" s="1">
        <v>0</v>
      </c>
      <c r="F108" s="1">
        <v>0</v>
      </c>
      <c r="G108" s="1">
        <v>0</v>
      </c>
      <c r="H108" s="1">
        <v>4</v>
      </c>
      <c r="I108" s="1">
        <v>30</v>
      </c>
      <c r="J108" s="1">
        <v>2</v>
      </c>
      <c r="K108" s="1">
        <v>7.5</v>
      </c>
    </row>
    <row r="109" spans="1:11" x14ac:dyDescent="0.35">
      <c r="A109" s="1" t="s">
        <v>389</v>
      </c>
      <c r="B109" s="1" t="s">
        <v>98</v>
      </c>
      <c r="C109" s="1">
        <v>45</v>
      </c>
      <c r="D109" s="1">
        <v>30</v>
      </c>
      <c r="E109" s="1">
        <v>4</v>
      </c>
      <c r="F109" s="1">
        <v>2</v>
      </c>
      <c r="G109" s="1">
        <v>150</v>
      </c>
      <c r="H109" s="1">
        <v>0</v>
      </c>
      <c r="I109" s="1">
        <v>0</v>
      </c>
      <c r="J109" s="1">
        <v>0</v>
      </c>
      <c r="K109" s="1">
        <v>0</v>
      </c>
    </row>
    <row r="110" spans="1:11" x14ac:dyDescent="0.35">
      <c r="A110" s="1" t="s">
        <v>390</v>
      </c>
      <c r="B110" s="1" t="s">
        <v>117</v>
      </c>
      <c r="C110" s="1">
        <v>75</v>
      </c>
      <c r="D110" s="1">
        <v>40</v>
      </c>
      <c r="E110" s="1">
        <v>7</v>
      </c>
      <c r="F110" s="1">
        <v>4</v>
      </c>
      <c r="G110" s="1">
        <v>187.5</v>
      </c>
      <c r="H110" s="1">
        <v>0</v>
      </c>
      <c r="I110" s="1">
        <v>0</v>
      </c>
      <c r="J110" s="1">
        <v>0</v>
      </c>
      <c r="K110" s="1">
        <v>0</v>
      </c>
    </row>
    <row r="111" spans="1:11" x14ac:dyDescent="0.35">
      <c r="A111" s="1" t="s">
        <v>391</v>
      </c>
      <c r="B111" s="1" t="s">
        <v>31</v>
      </c>
      <c r="C111" s="1">
        <v>50</v>
      </c>
      <c r="D111" s="1">
        <v>30</v>
      </c>
      <c r="E111" s="1">
        <v>5</v>
      </c>
      <c r="F111" s="1">
        <v>2</v>
      </c>
      <c r="G111" s="1">
        <v>166.67</v>
      </c>
      <c r="H111" s="1">
        <v>4</v>
      </c>
      <c r="I111" s="1">
        <v>35</v>
      </c>
      <c r="J111" s="1">
        <v>1</v>
      </c>
      <c r="K111" s="1">
        <v>8.75</v>
      </c>
    </row>
    <row r="112" spans="1:11" x14ac:dyDescent="0.35">
      <c r="A112" s="1" t="s">
        <v>392</v>
      </c>
      <c r="B112" s="1" t="s">
        <v>91</v>
      </c>
      <c r="C112" s="1">
        <v>0</v>
      </c>
      <c r="D112" s="1">
        <v>0</v>
      </c>
      <c r="E112" s="1">
        <v>0</v>
      </c>
      <c r="F112" s="1">
        <v>0</v>
      </c>
      <c r="G112" s="1">
        <v>0</v>
      </c>
      <c r="H112" s="1">
        <v>4</v>
      </c>
      <c r="I112" s="1">
        <v>22</v>
      </c>
      <c r="J112" s="1">
        <v>3</v>
      </c>
      <c r="K112" s="1">
        <v>5.5</v>
      </c>
    </row>
    <row r="113" spans="1:11" x14ac:dyDescent="0.35">
      <c r="A113" s="1" t="s">
        <v>393</v>
      </c>
      <c r="B113" s="1" t="s">
        <v>119</v>
      </c>
      <c r="C113" s="1">
        <v>40</v>
      </c>
      <c r="D113" s="1">
        <v>25</v>
      </c>
      <c r="E113" s="1">
        <v>4</v>
      </c>
      <c r="F113" s="1">
        <v>1</v>
      </c>
      <c r="G113" s="1">
        <v>160</v>
      </c>
      <c r="H113" s="1">
        <v>0</v>
      </c>
      <c r="I113" s="1">
        <v>0</v>
      </c>
      <c r="J113" s="1">
        <v>0</v>
      </c>
      <c r="K113" s="1">
        <v>0</v>
      </c>
    </row>
    <row r="114" spans="1:11" x14ac:dyDescent="0.35">
      <c r="A114" s="1" t="s">
        <v>394</v>
      </c>
      <c r="B114" s="1" t="s">
        <v>47</v>
      </c>
      <c r="C114" s="1">
        <v>70</v>
      </c>
      <c r="D114" s="1">
        <v>45</v>
      </c>
      <c r="E114" s="1">
        <v>7</v>
      </c>
      <c r="F114" s="1">
        <v>2</v>
      </c>
      <c r="G114" s="1">
        <v>155.56</v>
      </c>
      <c r="H114" s="1">
        <v>0</v>
      </c>
      <c r="I114" s="1">
        <v>0</v>
      </c>
      <c r="J114" s="1">
        <v>0</v>
      </c>
      <c r="K114" s="1">
        <v>0</v>
      </c>
    </row>
    <row r="115" spans="1:11" x14ac:dyDescent="0.35">
      <c r="A115" s="1" t="s">
        <v>395</v>
      </c>
      <c r="B115" s="1" t="s">
        <v>66</v>
      </c>
      <c r="C115" s="1">
        <v>20</v>
      </c>
      <c r="D115" s="1">
        <v>10</v>
      </c>
      <c r="E115" s="1">
        <v>2</v>
      </c>
      <c r="F115" s="1">
        <v>1</v>
      </c>
      <c r="G115" s="1">
        <v>200</v>
      </c>
      <c r="H115" s="1">
        <v>4</v>
      </c>
      <c r="I115" s="1">
        <v>25</v>
      </c>
      <c r="J115" s="1">
        <v>3</v>
      </c>
      <c r="K115" s="1">
        <v>6.25</v>
      </c>
    </row>
    <row r="116" spans="1:11" x14ac:dyDescent="0.35">
      <c r="A116" s="1" t="s">
        <v>396</v>
      </c>
      <c r="B116" s="1" t="s">
        <v>79</v>
      </c>
      <c r="C116" s="1">
        <v>60</v>
      </c>
      <c r="D116" s="1">
        <v>35</v>
      </c>
      <c r="E116" s="1">
        <v>6</v>
      </c>
      <c r="F116" s="1">
        <v>3</v>
      </c>
      <c r="G116" s="1">
        <v>171.43</v>
      </c>
      <c r="H116" s="1">
        <v>0</v>
      </c>
      <c r="I116" s="1">
        <v>0</v>
      </c>
      <c r="J116" s="1">
        <v>0</v>
      </c>
      <c r="K116" s="1">
        <v>0</v>
      </c>
    </row>
    <row r="117" spans="1:11" x14ac:dyDescent="0.35">
      <c r="A117" s="1" t="s">
        <v>397</v>
      </c>
      <c r="B117" s="1" t="s">
        <v>75</v>
      </c>
      <c r="C117" s="1">
        <v>0</v>
      </c>
      <c r="D117" s="1">
        <v>0</v>
      </c>
      <c r="E117" s="1">
        <v>0</v>
      </c>
      <c r="F117" s="1">
        <v>0</v>
      </c>
      <c r="G117" s="1">
        <v>0</v>
      </c>
      <c r="H117" s="1">
        <v>4</v>
      </c>
      <c r="I117" s="1">
        <v>18</v>
      </c>
      <c r="J117" s="1">
        <v>3</v>
      </c>
      <c r="K117" s="1">
        <v>4.5</v>
      </c>
    </row>
    <row r="118" spans="1:11" x14ac:dyDescent="0.35">
      <c r="A118" s="1" t="s">
        <v>398</v>
      </c>
      <c r="B118" s="1" t="s">
        <v>34</v>
      </c>
      <c r="C118" s="1">
        <v>80</v>
      </c>
      <c r="D118" s="1">
        <v>45</v>
      </c>
      <c r="E118" s="1">
        <v>8</v>
      </c>
      <c r="F118" s="1">
        <v>4</v>
      </c>
      <c r="G118" s="1">
        <v>177.78</v>
      </c>
      <c r="H118" s="1">
        <v>0</v>
      </c>
      <c r="I118" s="1">
        <v>0</v>
      </c>
      <c r="J118" s="1">
        <v>0</v>
      </c>
      <c r="K118" s="1">
        <v>0</v>
      </c>
    </row>
    <row r="119" spans="1:11" x14ac:dyDescent="0.35">
      <c r="A119" s="1" t="s">
        <v>399</v>
      </c>
      <c r="B119" s="1" t="s">
        <v>89</v>
      </c>
      <c r="C119" s="1">
        <v>0</v>
      </c>
      <c r="D119" s="1">
        <v>0</v>
      </c>
      <c r="E119" s="1">
        <v>0</v>
      </c>
      <c r="F119" s="1">
        <v>0</v>
      </c>
      <c r="G119" s="1">
        <v>0</v>
      </c>
      <c r="H119" s="1">
        <v>4</v>
      </c>
      <c r="I119" s="1">
        <v>30</v>
      </c>
      <c r="J119" s="1">
        <v>2</v>
      </c>
      <c r="K119" s="1">
        <v>7.5</v>
      </c>
    </row>
    <row r="120" spans="1:11" x14ac:dyDescent="0.35">
      <c r="A120" s="1" t="s">
        <v>400</v>
      </c>
      <c r="B120" s="1" t="s">
        <v>53</v>
      </c>
      <c r="C120" s="1">
        <v>50</v>
      </c>
      <c r="D120" s="1">
        <v>25</v>
      </c>
      <c r="E120" s="1">
        <v>5</v>
      </c>
      <c r="F120" s="1">
        <v>3</v>
      </c>
      <c r="G120" s="1">
        <v>200</v>
      </c>
      <c r="H120" s="1">
        <v>0</v>
      </c>
      <c r="I120" s="1">
        <v>0</v>
      </c>
      <c r="J120" s="1">
        <v>0</v>
      </c>
      <c r="K120" s="1">
        <v>0</v>
      </c>
    </row>
    <row r="121" spans="1:11" x14ac:dyDescent="0.35">
      <c r="A121" s="1" t="s">
        <v>401</v>
      </c>
      <c r="B121" s="1" t="s">
        <v>68</v>
      </c>
      <c r="C121" s="1">
        <v>0</v>
      </c>
      <c r="D121" s="1">
        <v>0</v>
      </c>
      <c r="E121" s="1">
        <v>0</v>
      </c>
      <c r="F121" s="1">
        <v>0</v>
      </c>
      <c r="G121" s="1">
        <v>0</v>
      </c>
      <c r="H121" s="1">
        <v>4</v>
      </c>
      <c r="I121" s="1">
        <v>28</v>
      </c>
      <c r="J121" s="1">
        <v>2</v>
      </c>
      <c r="K121" s="1">
        <v>7</v>
      </c>
    </row>
    <row r="122" spans="1:11" x14ac:dyDescent="0.35">
      <c r="A122" s="1" t="s">
        <v>402</v>
      </c>
      <c r="B122" s="1" t="s">
        <v>95</v>
      </c>
      <c r="C122" s="1">
        <v>70</v>
      </c>
      <c r="D122" s="1">
        <v>40</v>
      </c>
      <c r="E122" s="1">
        <v>7</v>
      </c>
      <c r="F122" s="1">
        <v>3</v>
      </c>
      <c r="G122" s="1">
        <v>175</v>
      </c>
      <c r="H122" s="1">
        <v>0</v>
      </c>
      <c r="I122" s="1">
        <v>0</v>
      </c>
      <c r="J122" s="1">
        <v>0</v>
      </c>
      <c r="K122" s="1">
        <v>0</v>
      </c>
    </row>
    <row r="123" spans="1:11" x14ac:dyDescent="0.35">
      <c r="A123" s="1" t="s">
        <v>403</v>
      </c>
      <c r="B123" s="1" t="s">
        <v>107</v>
      </c>
      <c r="C123" s="1">
        <v>0</v>
      </c>
      <c r="D123" s="1">
        <v>0</v>
      </c>
      <c r="E123" s="1">
        <v>0</v>
      </c>
      <c r="F123" s="1">
        <v>0</v>
      </c>
      <c r="G123" s="1">
        <v>0</v>
      </c>
      <c r="H123" s="1">
        <v>4</v>
      </c>
      <c r="I123" s="1">
        <v>35</v>
      </c>
      <c r="J123" s="1">
        <v>1</v>
      </c>
      <c r="K123" s="1">
        <v>8.75</v>
      </c>
    </row>
    <row r="124" spans="1:11" x14ac:dyDescent="0.35">
      <c r="A124" s="1" t="s">
        <v>404</v>
      </c>
      <c r="B124" s="1" t="s">
        <v>111</v>
      </c>
      <c r="C124" s="1">
        <v>85</v>
      </c>
      <c r="D124" s="1">
        <v>50</v>
      </c>
      <c r="E124" s="1">
        <v>8</v>
      </c>
      <c r="F124" s="1">
        <v>4</v>
      </c>
      <c r="G124" s="1">
        <v>170</v>
      </c>
      <c r="H124" s="1">
        <v>0</v>
      </c>
      <c r="I124" s="1">
        <v>0</v>
      </c>
      <c r="J124" s="1">
        <v>0</v>
      </c>
      <c r="K124" s="1">
        <v>0</v>
      </c>
    </row>
    <row r="125" spans="1:11" x14ac:dyDescent="0.35">
      <c r="A125" s="1" t="s">
        <v>405</v>
      </c>
      <c r="B125" s="1" t="s">
        <v>16</v>
      </c>
      <c r="C125" s="1">
        <v>0</v>
      </c>
      <c r="D125" s="1">
        <v>0</v>
      </c>
      <c r="E125" s="1">
        <v>0</v>
      </c>
      <c r="F125" s="1">
        <v>0</v>
      </c>
      <c r="G125" s="1">
        <v>0</v>
      </c>
      <c r="H125" s="1">
        <v>4</v>
      </c>
      <c r="I125" s="1">
        <v>22</v>
      </c>
      <c r="J125" s="1">
        <v>3</v>
      </c>
      <c r="K125" s="1">
        <v>5.5</v>
      </c>
    </row>
    <row r="126" spans="1:11" x14ac:dyDescent="0.35">
      <c r="A126" s="1" t="s">
        <v>406</v>
      </c>
      <c r="B126" s="1" t="s">
        <v>51</v>
      </c>
      <c r="C126" s="1">
        <v>0</v>
      </c>
      <c r="D126" s="1">
        <v>0</v>
      </c>
      <c r="E126" s="1">
        <v>0</v>
      </c>
      <c r="F126" s="1">
        <v>0</v>
      </c>
      <c r="G126" s="1">
        <v>0</v>
      </c>
      <c r="H126" s="1">
        <v>4</v>
      </c>
      <c r="I126" s="1">
        <v>30</v>
      </c>
      <c r="J126" s="1">
        <v>2</v>
      </c>
      <c r="K126" s="1">
        <v>7.5</v>
      </c>
    </row>
    <row r="127" spans="1:11" x14ac:dyDescent="0.35">
      <c r="A127" s="1" t="s">
        <v>407</v>
      </c>
      <c r="B127" s="1" t="s">
        <v>21</v>
      </c>
      <c r="C127" s="1">
        <v>60</v>
      </c>
      <c r="D127" s="1">
        <v>35</v>
      </c>
      <c r="E127" s="1">
        <v>6</v>
      </c>
      <c r="F127" s="1">
        <v>2</v>
      </c>
      <c r="G127" s="1">
        <v>171.43</v>
      </c>
      <c r="H127" s="1">
        <v>0</v>
      </c>
      <c r="I127" s="1">
        <v>0</v>
      </c>
      <c r="J127" s="1">
        <v>0</v>
      </c>
      <c r="K127" s="1">
        <v>0</v>
      </c>
    </row>
    <row r="128" spans="1:11" x14ac:dyDescent="0.35">
      <c r="A128" s="1" t="s">
        <v>408</v>
      </c>
      <c r="B128" s="1" t="s">
        <v>101</v>
      </c>
      <c r="C128" s="1">
        <v>0</v>
      </c>
      <c r="D128" s="1">
        <v>0</v>
      </c>
      <c r="E128" s="1">
        <v>0</v>
      </c>
      <c r="F128" s="1">
        <v>0</v>
      </c>
      <c r="G128" s="1">
        <v>0</v>
      </c>
      <c r="H128" s="1">
        <v>4</v>
      </c>
      <c r="I128" s="1">
        <v>30</v>
      </c>
      <c r="J128" s="1">
        <v>3</v>
      </c>
      <c r="K128" s="1">
        <v>7.5</v>
      </c>
    </row>
    <row r="129" spans="1:11" x14ac:dyDescent="0.35">
      <c r="A129" s="1" t="s">
        <v>409</v>
      </c>
      <c r="B129" s="1" t="s">
        <v>8</v>
      </c>
      <c r="C129" s="1">
        <v>75</v>
      </c>
      <c r="D129" s="1">
        <v>45</v>
      </c>
      <c r="E129" s="1">
        <v>7</v>
      </c>
      <c r="F129" s="1">
        <v>3</v>
      </c>
      <c r="G129" s="1">
        <v>166.67</v>
      </c>
      <c r="H129" s="1">
        <v>0</v>
      </c>
      <c r="I129" s="1">
        <v>0</v>
      </c>
      <c r="J129" s="1">
        <v>0</v>
      </c>
      <c r="K129" s="1">
        <v>0</v>
      </c>
    </row>
    <row r="130" spans="1:11" x14ac:dyDescent="0.35">
      <c r="A130" s="1" t="s">
        <v>410</v>
      </c>
      <c r="B130" s="1" t="s">
        <v>37</v>
      </c>
      <c r="C130" s="1">
        <v>0</v>
      </c>
      <c r="D130" s="1">
        <v>0</v>
      </c>
      <c r="E130" s="1">
        <v>0</v>
      </c>
      <c r="F130" s="1">
        <v>0</v>
      </c>
      <c r="G130" s="1">
        <v>0</v>
      </c>
      <c r="H130" s="1">
        <v>4</v>
      </c>
      <c r="I130" s="1">
        <v>28</v>
      </c>
      <c r="J130" s="1">
        <v>2</v>
      </c>
      <c r="K130" s="1">
        <v>7</v>
      </c>
    </row>
    <row r="131" spans="1:11" x14ac:dyDescent="0.35">
      <c r="A131" s="1" t="s">
        <v>411</v>
      </c>
      <c r="B131" s="1" t="s">
        <v>59</v>
      </c>
      <c r="C131" s="1">
        <v>65</v>
      </c>
      <c r="D131" s="1">
        <v>40</v>
      </c>
      <c r="E131" s="1">
        <v>6</v>
      </c>
      <c r="F131" s="1">
        <v>3</v>
      </c>
      <c r="G131" s="1">
        <v>162.5</v>
      </c>
      <c r="H131" s="1">
        <v>0</v>
      </c>
      <c r="I131" s="1">
        <v>0</v>
      </c>
      <c r="J131" s="1">
        <v>0</v>
      </c>
      <c r="K131" s="1">
        <v>0</v>
      </c>
    </row>
    <row r="132" spans="1:11" x14ac:dyDescent="0.35">
      <c r="A132" s="1" t="s">
        <v>412</v>
      </c>
      <c r="B132" s="1" t="s">
        <v>84</v>
      </c>
      <c r="C132" s="1">
        <v>95</v>
      </c>
      <c r="D132" s="1">
        <v>50</v>
      </c>
      <c r="E132" s="1">
        <v>10</v>
      </c>
      <c r="F132" s="1">
        <v>4</v>
      </c>
      <c r="G132" s="1">
        <v>190</v>
      </c>
      <c r="H132" s="1">
        <v>0</v>
      </c>
      <c r="I132" s="1">
        <v>0</v>
      </c>
      <c r="J132" s="1">
        <v>0</v>
      </c>
      <c r="K132" s="1">
        <v>0</v>
      </c>
    </row>
    <row r="133" spans="1:11" x14ac:dyDescent="0.35">
      <c r="A133" s="1" t="s">
        <v>413</v>
      </c>
      <c r="B133" s="1" t="s">
        <v>91</v>
      </c>
      <c r="C133" s="1">
        <v>0</v>
      </c>
      <c r="D133" s="1">
        <v>0</v>
      </c>
      <c r="E133" s="1">
        <v>0</v>
      </c>
      <c r="F133" s="1">
        <v>0</v>
      </c>
      <c r="G133" s="1">
        <v>0</v>
      </c>
      <c r="H133" s="1">
        <v>4</v>
      </c>
      <c r="I133" s="1">
        <v>25</v>
      </c>
      <c r="J133" s="1">
        <v>2</v>
      </c>
      <c r="K133" s="1">
        <v>6.25</v>
      </c>
    </row>
    <row r="134" spans="1:11" x14ac:dyDescent="0.35">
      <c r="A134" s="1" t="s">
        <v>414</v>
      </c>
      <c r="B134" s="1" t="s">
        <v>95</v>
      </c>
      <c r="C134" s="1">
        <v>80</v>
      </c>
      <c r="D134" s="1">
        <v>45</v>
      </c>
      <c r="E134" s="1">
        <v>8</v>
      </c>
      <c r="F134" s="1">
        <v>3</v>
      </c>
      <c r="G134" s="1">
        <v>177.78</v>
      </c>
      <c r="H134" s="1">
        <v>0</v>
      </c>
      <c r="I134" s="1">
        <v>0</v>
      </c>
      <c r="J134" s="1">
        <v>0</v>
      </c>
      <c r="K134" s="1">
        <v>0</v>
      </c>
    </row>
    <row r="135" spans="1:11" x14ac:dyDescent="0.35">
      <c r="A135" s="1" t="s">
        <v>415</v>
      </c>
      <c r="B135" s="1" t="s">
        <v>47</v>
      </c>
      <c r="C135" s="1">
        <v>45</v>
      </c>
      <c r="D135" s="1">
        <v>25</v>
      </c>
      <c r="E135" s="1">
        <v>4</v>
      </c>
      <c r="F135" s="1">
        <v>2</v>
      </c>
      <c r="G135" s="1">
        <v>180</v>
      </c>
      <c r="H135" s="1">
        <v>0</v>
      </c>
      <c r="I135" s="1">
        <v>0</v>
      </c>
      <c r="J135" s="1">
        <v>0</v>
      </c>
      <c r="K135" s="1">
        <v>0</v>
      </c>
    </row>
    <row r="136" spans="1:11" x14ac:dyDescent="0.35">
      <c r="A136" s="1" t="s">
        <v>416</v>
      </c>
      <c r="B136" s="1" t="s">
        <v>66</v>
      </c>
      <c r="C136" s="1">
        <v>35</v>
      </c>
      <c r="D136" s="1">
        <v>20</v>
      </c>
      <c r="E136" s="1">
        <v>4</v>
      </c>
      <c r="F136" s="1">
        <v>2</v>
      </c>
      <c r="G136" s="1">
        <v>175</v>
      </c>
      <c r="H136" s="1">
        <v>4</v>
      </c>
      <c r="I136" s="1">
        <v>30</v>
      </c>
      <c r="J136" s="1">
        <v>2</v>
      </c>
      <c r="K136" s="1">
        <v>7.5</v>
      </c>
    </row>
    <row r="137" spans="1:11" x14ac:dyDescent="0.35">
      <c r="A137" s="1" t="s">
        <v>417</v>
      </c>
      <c r="B137" s="1" t="s">
        <v>68</v>
      </c>
      <c r="C137" s="1">
        <v>0</v>
      </c>
      <c r="D137" s="1">
        <v>0</v>
      </c>
      <c r="E137" s="1">
        <v>0</v>
      </c>
      <c r="F137" s="1">
        <v>0</v>
      </c>
      <c r="G137" s="1">
        <v>0</v>
      </c>
      <c r="H137" s="1">
        <v>4</v>
      </c>
      <c r="I137" s="1">
        <v>25</v>
      </c>
      <c r="J137" s="1">
        <v>2</v>
      </c>
      <c r="K137" s="1">
        <v>6.25</v>
      </c>
    </row>
    <row r="138" spans="1:11" x14ac:dyDescent="0.35">
      <c r="A138" s="1" t="s">
        <v>418</v>
      </c>
      <c r="B138" s="1" t="s">
        <v>34</v>
      </c>
      <c r="C138" s="1">
        <v>90</v>
      </c>
      <c r="D138" s="1">
        <v>50</v>
      </c>
      <c r="E138" s="1">
        <v>9</v>
      </c>
      <c r="F138" s="1">
        <v>4</v>
      </c>
      <c r="G138" s="1">
        <v>180</v>
      </c>
      <c r="H138" s="1">
        <v>0</v>
      </c>
      <c r="I138" s="1">
        <v>0</v>
      </c>
      <c r="J138" s="1">
        <v>0</v>
      </c>
      <c r="K138" s="1">
        <v>0</v>
      </c>
    </row>
    <row r="139" spans="1:11" x14ac:dyDescent="0.35">
      <c r="A139" s="1" t="s">
        <v>419</v>
      </c>
      <c r="B139" s="1" t="s">
        <v>41</v>
      </c>
      <c r="C139" s="1">
        <v>50</v>
      </c>
      <c r="D139" s="1">
        <v>30</v>
      </c>
      <c r="E139" s="1">
        <v>5</v>
      </c>
      <c r="F139" s="1">
        <v>2</v>
      </c>
      <c r="G139" s="1">
        <v>166.67</v>
      </c>
      <c r="H139" s="1">
        <v>0</v>
      </c>
      <c r="I139" s="1">
        <v>0</v>
      </c>
      <c r="J139" s="1">
        <v>0</v>
      </c>
      <c r="K139" s="1">
        <v>0</v>
      </c>
    </row>
    <row r="140" spans="1:11" x14ac:dyDescent="0.35">
      <c r="A140" s="1" t="s">
        <v>420</v>
      </c>
      <c r="B140" s="1" t="s">
        <v>117</v>
      </c>
      <c r="C140" s="1">
        <v>80</v>
      </c>
      <c r="D140" s="1">
        <v>45</v>
      </c>
      <c r="E140" s="1">
        <v>8</v>
      </c>
      <c r="F140" s="1">
        <v>3</v>
      </c>
      <c r="G140" s="1">
        <v>177.78</v>
      </c>
      <c r="H140" s="1">
        <v>0</v>
      </c>
      <c r="I140" s="1">
        <v>0</v>
      </c>
      <c r="J140" s="1">
        <v>0</v>
      </c>
      <c r="K140" s="1">
        <v>0</v>
      </c>
    </row>
    <row r="141" spans="1:11" x14ac:dyDescent="0.35">
      <c r="A141" s="1" t="s">
        <v>421</v>
      </c>
      <c r="B141" s="1" t="s">
        <v>119</v>
      </c>
      <c r="C141" s="1">
        <v>60</v>
      </c>
      <c r="D141" s="1">
        <v>35</v>
      </c>
      <c r="E141" s="1">
        <v>6</v>
      </c>
      <c r="F141" s="1">
        <v>3</v>
      </c>
      <c r="G141" s="1">
        <v>171.43</v>
      </c>
      <c r="H141" s="1">
        <v>0</v>
      </c>
      <c r="I141" s="1">
        <v>0</v>
      </c>
      <c r="J141" s="1">
        <v>0</v>
      </c>
      <c r="K141" s="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A9E46-FCE6-45A8-BEA0-AAE390E67F5E}">
  <dimension ref="A2:AD30"/>
  <sheetViews>
    <sheetView topLeftCell="A18" zoomScale="40" zoomScaleNormal="40" workbookViewId="0">
      <selection activeCell="Q5" sqref="Q5"/>
    </sheetView>
  </sheetViews>
  <sheetFormatPr defaultRowHeight="14.5" x14ac:dyDescent="0.35"/>
  <cols>
    <col min="1" max="1" width="36.26953125" bestFit="1" customWidth="1"/>
    <col min="2" max="2" width="13.7265625" bestFit="1" customWidth="1"/>
    <col min="3" max="3" width="14.6328125" bestFit="1" customWidth="1"/>
    <col min="4" max="4" width="16.90625" bestFit="1" customWidth="1"/>
    <col min="5" max="5" width="13.7265625" bestFit="1" customWidth="1"/>
    <col min="6" max="6" width="13.6328125" bestFit="1" customWidth="1"/>
    <col min="12" max="12" width="36.26953125" bestFit="1" customWidth="1"/>
    <col min="13" max="13" width="14.6328125" bestFit="1" customWidth="1"/>
    <col min="14" max="17" width="14.6328125" customWidth="1"/>
    <col min="18" max="19" width="9.81640625" bestFit="1" customWidth="1"/>
    <col min="20" max="20" width="22.1796875" bestFit="1" customWidth="1"/>
    <col min="21" max="21" width="14.6328125" bestFit="1" customWidth="1"/>
    <col min="29" max="29" width="29" bestFit="1" customWidth="1"/>
    <col min="30" max="30" width="23.54296875" bestFit="1" customWidth="1"/>
  </cols>
  <sheetData>
    <row r="2" spans="1:30" x14ac:dyDescent="0.35">
      <c r="AD2" s="18"/>
    </row>
    <row r="3" spans="1:30" x14ac:dyDescent="0.35">
      <c r="A3" s="11" t="s">
        <v>431</v>
      </c>
      <c r="B3" t="s">
        <v>424</v>
      </c>
      <c r="C3" t="s">
        <v>425</v>
      </c>
      <c r="D3" t="s">
        <v>426</v>
      </c>
      <c r="E3" s="15" t="s">
        <v>427</v>
      </c>
      <c r="AC3" s="11" t="s">
        <v>431</v>
      </c>
      <c r="AD3" t="s">
        <v>432</v>
      </c>
    </row>
    <row r="4" spans="1:30" x14ac:dyDescent="0.35">
      <c r="A4" s="12" t="s">
        <v>133</v>
      </c>
      <c r="B4" s="1">
        <v>8</v>
      </c>
      <c r="C4" s="16">
        <v>2869</v>
      </c>
      <c r="D4" s="16">
        <v>5</v>
      </c>
      <c r="E4" s="16">
        <v>5</v>
      </c>
      <c r="L4" s="11" t="s">
        <v>431</v>
      </c>
      <c r="M4" t="s">
        <v>425</v>
      </c>
      <c r="T4" s="11" t="s">
        <v>431</v>
      </c>
      <c r="U4" t="s">
        <v>425</v>
      </c>
      <c r="AC4" s="12" t="s">
        <v>136</v>
      </c>
      <c r="AD4" s="1">
        <v>8</v>
      </c>
    </row>
    <row r="5" spans="1:30" x14ac:dyDescent="0.35">
      <c r="A5" s="12" t="s">
        <v>151</v>
      </c>
      <c r="B5" s="1">
        <v>7</v>
      </c>
      <c r="C5" s="16">
        <v>2420</v>
      </c>
      <c r="D5" s="16">
        <v>7</v>
      </c>
      <c r="E5" s="16">
        <v>2</v>
      </c>
      <c r="L5" s="12" t="s">
        <v>133</v>
      </c>
      <c r="M5" s="16">
        <v>2869</v>
      </c>
      <c r="N5" s="16"/>
      <c r="O5" s="16"/>
      <c r="P5" s="16"/>
      <c r="Q5" s="16"/>
      <c r="T5" s="12" t="s">
        <v>428</v>
      </c>
      <c r="U5" s="16">
        <v>13297</v>
      </c>
      <c r="AC5" s="12" t="s">
        <v>423</v>
      </c>
      <c r="AD5" s="1">
        <v>8</v>
      </c>
    </row>
    <row r="6" spans="1:30" x14ac:dyDescent="0.35">
      <c r="A6" s="12" t="s">
        <v>145</v>
      </c>
      <c r="B6" s="1">
        <v>8</v>
      </c>
      <c r="C6" s="16">
        <v>2788</v>
      </c>
      <c r="D6" s="16">
        <v>11</v>
      </c>
      <c r="E6" s="16">
        <v>4</v>
      </c>
      <c r="L6" s="12" t="s">
        <v>151</v>
      </c>
      <c r="M6" s="16">
        <v>2420</v>
      </c>
      <c r="N6" s="16"/>
      <c r="O6" s="16"/>
      <c r="P6" s="16"/>
      <c r="Q6" s="16"/>
      <c r="T6" s="12" t="s">
        <v>429</v>
      </c>
      <c r="U6" s="16">
        <v>7647</v>
      </c>
    </row>
    <row r="7" spans="1:30" x14ac:dyDescent="0.35">
      <c r="A7" s="12" t="s">
        <v>127</v>
      </c>
      <c r="B7" s="1">
        <v>8</v>
      </c>
      <c r="C7" s="16">
        <v>2735</v>
      </c>
      <c r="D7" s="16">
        <v>11</v>
      </c>
      <c r="E7" s="16">
        <v>4</v>
      </c>
      <c r="L7" s="12" t="s">
        <v>145</v>
      </c>
      <c r="M7" s="16">
        <v>2788</v>
      </c>
      <c r="T7" s="12" t="s">
        <v>423</v>
      </c>
      <c r="U7" s="16">
        <v>20944</v>
      </c>
    </row>
    <row r="8" spans="1:30" x14ac:dyDescent="0.35">
      <c r="A8" s="12" t="s">
        <v>163</v>
      </c>
      <c r="B8" s="1">
        <v>7</v>
      </c>
      <c r="C8" s="16">
        <v>2458</v>
      </c>
      <c r="D8" s="16">
        <v>8</v>
      </c>
      <c r="E8" s="16">
        <v>2</v>
      </c>
      <c r="L8" s="12" t="s">
        <v>127</v>
      </c>
      <c r="M8" s="16">
        <v>2735</v>
      </c>
    </row>
    <row r="9" spans="1:30" x14ac:dyDescent="0.35">
      <c r="A9" s="12" t="s">
        <v>157</v>
      </c>
      <c r="B9" s="1">
        <v>7</v>
      </c>
      <c r="C9" s="16">
        <v>2318</v>
      </c>
      <c r="D9" s="16">
        <v>14</v>
      </c>
      <c r="E9" s="16">
        <v>4</v>
      </c>
      <c r="L9" s="12" t="s">
        <v>163</v>
      </c>
      <c r="M9" s="16">
        <v>2458</v>
      </c>
    </row>
    <row r="10" spans="1:30" x14ac:dyDescent="0.35">
      <c r="A10" s="12" t="s">
        <v>139</v>
      </c>
      <c r="B10" s="1">
        <v>7</v>
      </c>
      <c r="C10" s="16">
        <v>2600</v>
      </c>
      <c r="D10" s="16">
        <v>0</v>
      </c>
      <c r="E10" s="16">
        <v>4</v>
      </c>
      <c r="L10" s="12" t="s">
        <v>157</v>
      </c>
      <c r="M10" s="16">
        <v>2318</v>
      </c>
    </row>
    <row r="11" spans="1:30" x14ac:dyDescent="0.35">
      <c r="A11" s="12" t="s">
        <v>169</v>
      </c>
      <c r="B11" s="1">
        <v>8</v>
      </c>
      <c r="C11" s="16">
        <v>2756</v>
      </c>
      <c r="D11" s="16">
        <v>6</v>
      </c>
      <c r="E11" s="16">
        <v>5</v>
      </c>
      <c r="L11" s="12" t="s">
        <v>139</v>
      </c>
      <c r="M11" s="16">
        <v>2600</v>
      </c>
    </row>
    <row r="12" spans="1:30" x14ac:dyDescent="0.35">
      <c r="A12" s="12" t="s">
        <v>422</v>
      </c>
      <c r="B12" s="1"/>
      <c r="C12" s="16"/>
      <c r="D12" s="16">
        <v>78</v>
      </c>
      <c r="E12" s="15">
        <v>0</v>
      </c>
      <c r="L12" s="12" t="s">
        <v>169</v>
      </c>
      <c r="M12" s="16">
        <v>2756</v>
      </c>
    </row>
    <row r="13" spans="1:30" x14ac:dyDescent="0.35">
      <c r="A13" s="12" t="s">
        <v>423</v>
      </c>
      <c r="B13" s="1">
        <v>60</v>
      </c>
      <c r="C13" s="16">
        <v>20944</v>
      </c>
      <c r="D13" s="16">
        <v>140</v>
      </c>
      <c r="E13" s="16">
        <v>0</v>
      </c>
      <c r="L13" s="12" t="s">
        <v>423</v>
      </c>
      <c r="M13" s="16">
        <v>20944</v>
      </c>
    </row>
    <row r="20" spans="1:5" x14ac:dyDescent="0.35">
      <c r="A20" s="11" t="s">
        <v>431</v>
      </c>
      <c r="B20" t="s">
        <v>427</v>
      </c>
    </row>
    <row r="21" spans="1:5" x14ac:dyDescent="0.35">
      <c r="A21" s="12" t="s">
        <v>133</v>
      </c>
      <c r="B21" s="16">
        <v>5</v>
      </c>
    </row>
    <row r="22" spans="1:5" x14ac:dyDescent="0.35">
      <c r="A22" s="12" t="s">
        <v>151</v>
      </c>
      <c r="B22" s="16">
        <v>2</v>
      </c>
      <c r="E22">
        <f>COUNTA(A21:A29)</f>
        <v>9</v>
      </c>
    </row>
    <row r="23" spans="1:5" x14ac:dyDescent="0.35">
      <c r="A23" s="12" t="s">
        <v>145</v>
      </c>
      <c r="B23" s="16">
        <v>4</v>
      </c>
    </row>
    <row r="24" spans="1:5" x14ac:dyDescent="0.35">
      <c r="A24" s="12" t="s">
        <v>127</v>
      </c>
      <c r="B24" s="16">
        <v>4</v>
      </c>
    </row>
    <row r="25" spans="1:5" x14ac:dyDescent="0.35">
      <c r="A25" s="12" t="s">
        <v>163</v>
      </c>
      <c r="B25" s="16">
        <v>2</v>
      </c>
    </row>
    <row r="26" spans="1:5" x14ac:dyDescent="0.35">
      <c r="A26" s="12" t="s">
        <v>157</v>
      </c>
      <c r="B26" s="16">
        <v>4</v>
      </c>
    </row>
    <row r="27" spans="1:5" x14ac:dyDescent="0.35">
      <c r="A27" s="12" t="s">
        <v>139</v>
      </c>
      <c r="B27" s="16">
        <v>4</v>
      </c>
    </row>
    <row r="28" spans="1:5" x14ac:dyDescent="0.35">
      <c r="A28" s="12" t="s">
        <v>169</v>
      </c>
      <c r="B28" s="16">
        <v>5</v>
      </c>
    </row>
    <row r="29" spans="1:5" x14ac:dyDescent="0.35">
      <c r="A29" s="12" t="s">
        <v>422</v>
      </c>
      <c r="B29" s="15">
        <v>0</v>
      </c>
    </row>
    <row r="30" spans="1:5" x14ac:dyDescent="0.35">
      <c r="A30" s="12" t="s">
        <v>423</v>
      </c>
      <c r="B30" s="16">
        <v>0</v>
      </c>
    </row>
  </sheetData>
  <pageMargins left="0.7" right="0.7" top="0.75" bottom="0.75" header="0.3" footer="0.3"/>
  <pageSetup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69C27-72D5-4228-BBEE-460C51314D0F}">
  <dimension ref="A1:AI41"/>
  <sheetViews>
    <sheetView zoomScale="55" zoomScaleNormal="55" workbookViewId="0">
      <selection activeCell="L6" sqref="L6"/>
    </sheetView>
  </sheetViews>
  <sheetFormatPr defaultRowHeight="14.5" x14ac:dyDescent="0.35"/>
  <cols>
    <col min="28" max="28" width="8.7265625" customWidth="1"/>
  </cols>
  <sheetData>
    <row r="1" spans="1:35" s="19" customFormat="1" x14ac:dyDescent="0.35"/>
    <row r="2" spans="1:35" s="19" customFormat="1" x14ac:dyDescent="0.35">
      <c r="A2" s="26"/>
      <c r="B2" s="26"/>
      <c r="C2" s="26"/>
      <c r="D2" s="26"/>
      <c r="E2" s="26"/>
      <c r="G2" s="26"/>
      <c r="H2" s="26"/>
      <c r="I2" s="26"/>
      <c r="J2" s="26"/>
      <c r="K2" s="26"/>
      <c r="Y2" s="26"/>
      <c r="Z2" s="26"/>
      <c r="AA2" s="26"/>
      <c r="AB2" s="26"/>
      <c r="AC2" s="26"/>
      <c r="AE2" s="26"/>
      <c r="AF2" s="26"/>
      <c r="AG2" s="26"/>
      <c r="AH2" s="26"/>
      <c r="AI2" s="26"/>
    </row>
    <row r="3" spans="1:35" s="19" customFormat="1" x14ac:dyDescent="0.35">
      <c r="A3" s="26"/>
      <c r="B3" s="26"/>
      <c r="C3" s="26"/>
      <c r="D3" s="26"/>
      <c r="E3" s="26"/>
      <c r="G3" s="26"/>
      <c r="H3" s="26"/>
      <c r="I3" s="26"/>
      <c r="J3" s="26"/>
      <c r="K3" s="26"/>
      <c r="Y3" s="26"/>
      <c r="Z3" s="26"/>
      <c r="AA3" s="26"/>
      <c r="AB3" s="26"/>
      <c r="AC3" s="26"/>
      <c r="AE3" s="26"/>
      <c r="AF3" s="26"/>
      <c r="AG3" s="26"/>
      <c r="AH3" s="26"/>
      <c r="AI3" s="26"/>
    </row>
    <row r="4" spans="1:35" s="19" customFormat="1" x14ac:dyDescent="0.35">
      <c r="A4" s="26"/>
      <c r="B4" s="26"/>
      <c r="C4" s="26"/>
      <c r="D4" s="26"/>
      <c r="E4" s="26"/>
      <c r="G4" s="26"/>
      <c r="H4" s="26"/>
      <c r="I4" s="26"/>
      <c r="J4" s="26"/>
      <c r="K4" s="26"/>
      <c r="Y4" s="26"/>
      <c r="Z4" s="26"/>
      <c r="AA4" s="26"/>
      <c r="AB4" s="26"/>
      <c r="AC4" s="26"/>
      <c r="AE4" s="26"/>
      <c r="AF4" s="26"/>
      <c r="AG4" s="26"/>
      <c r="AH4" s="26"/>
      <c r="AI4" s="26"/>
    </row>
    <row r="5" spans="1:35" s="19" customFormat="1" x14ac:dyDescent="0.35">
      <c r="A5" s="26"/>
      <c r="B5" s="26"/>
      <c r="C5" s="26"/>
      <c r="D5" s="26"/>
      <c r="E5" s="26"/>
      <c r="G5" s="26"/>
      <c r="H5" s="26"/>
      <c r="I5" s="26"/>
      <c r="J5" s="26"/>
      <c r="K5" s="26"/>
      <c r="Y5" s="26"/>
      <c r="Z5" s="26"/>
      <c r="AA5" s="26"/>
      <c r="AB5" s="26"/>
      <c r="AC5" s="26"/>
      <c r="AE5" s="26"/>
      <c r="AF5" s="26"/>
      <c r="AG5" s="26"/>
      <c r="AH5" s="26"/>
      <c r="AI5" s="26"/>
    </row>
    <row r="6" spans="1:35" s="19" customFormat="1" ht="14.5" customHeight="1" x14ac:dyDescent="0.35">
      <c r="A6" s="27">
        <f>IFERROR(GETPIVOTDATA("[Measures].[Count of Match_ID]", Team_summery!$A$3), 0)</f>
        <v>60</v>
      </c>
      <c r="B6" s="27"/>
      <c r="C6" s="27"/>
      <c r="D6" s="27"/>
      <c r="E6" s="27"/>
      <c r="G6" s="27">
        <f>Team_summery!E22</f>
        <v>9</v>
      </c>
      <c r="H6" s="27"/>
      <c r="I6" s="27"/>
      <c r="J6" s="27"/>
      <c r="K6" s="27"/>
      <c r="Y6" s="27">
        <f>GETPIVOTDATA("[Measures].[Total Runs]",Team_summery!$L$4)</f>
        <v>20944</v>
      </c>
      <c r="Z6" s="27"/>
      <c r="AA6" s="27"/>
      <c r="AB6" s="27"/>
      <c r="AC6" s="27"/>
      <c r="AE6" s="27">
        <f>GETPIVOTDATA("[Measures].[Totalwickets]",Team_summery!$A$3)</f>
        <v>140</v>
      </c>
      <c r="AF6" s="27"/>
      <c r="AG6" s="27"/>
      <c r="AH6" s="27"/>
      <c r="AI6" s="27"/>
    </row>
    <row r="7" spans="1:35" s="19" customFormat="1" ht="14.5" customHeight="1" x14ac:dyDescent="0.35">
      <c r="A7" s="27"/>
      <c r="B7" s="27"/>
      <c r="C7" s="27"/>
      <c r="D7" s="27"/>
      <c r="E7" s="27"/>
      <c r="G7" s="27"/>
      <c r="H7" s="27"/>
      <c r="I7" s="27"/>
      <c r="J7" s="27"/>
      <c r="K7" s="27"/>
      <c r="Y7" s="27"/>
      <c r="Z7" s="27"/>
      <c r="AA7" s="27"/>
      <c r="AB7" s="27"/>
      <c r="AC7" s="27"/>
      <c r="AE7" s="27"/>
      <c r="AF7" s="27"/>
      <c r="AG7" s="27"/>
      <c r="AH7" s="27"/>
      <c r="AI7" s="27"/>
    </row>
    <row r="8" spans="1:35" s="19" customFormat="1" ht="14.5" customHeight="1" x14ac:dyDescent="0.35">
      <c r="A8" s="27"/>
      <c r="B8" s="27"/>
      <c r="C8" s="27"/>
      <c r="D8" s="27"/>
      <c r="E8" s="27"/>
      <c r="G8" s="27"/>
      <c r="H8" s="27"/>
      <c r="I8" s="27"/>
      <c r="J8" s="27"/>
      <c r="K8" s="27"/>
      <c r="Y8" s="27"/>
      <c r="Z8" s="27"/>
      <c r="AA8" s="27"/>
      <c r="AB8" s="27"/>
      <c r="AC8" s="27"/>
      <c r="AE8" s="27"/>
      <c r="AF8" s="27"/>
      <c r="AG8" s="27"/>
      <c r="AH8" s="27"/>
      <c r="AI8" s="27"/>
    </row>
    <row r="9" spans="1:35" s="19" customFormat="1" ht="14.5" customHeight="1" x14ac:dyDescent="0.35">
      <c r="A9" s="27"/>
      <c r="B9" s="27"/>
      <c r="C9" s="27"/>
      <c r="D9" s="27"/>
      <c r="E9" s="27"/>
      <c r="G9" s="27"/>
      <c r="H9" s="27"/>
      <c r="I9" s="27"/>
      <c r="J9" s="27"/>
      <c r="K9" s="27"/>
      <c r="Y9" s="27"/>
      <c r="Z9" s="27"/>
      <c r="AA9" s="27"/>
      <c r="AB9" s="27"/>
      <c r="AC9" s="27"/>
      <c r="AE9" s="27"/>
      <c r="AF9" s="27"/>
      <c r="AG9" s="27"/>
      <c r="AH9" s="27"/>
      <c r="AI9" s="27"/>
    </row>
    <row r="10" spans="1:35" s="19" customFormat="1" ht="14.5" customHeight="1" x14ac:dyDescent="0.35">
      <c r="A10" s="27"/>
      <c r="B10" s="27"/>
      <c r="C10" s="27"/>
      <c r="D10" s="27"/>
      <c r="E10" s="27"/>
      <c r="G10" s="27"/>
      <c r="H10" s="27"/>
      <c r="I10" s="27"/>
      <c r="J10" s="27"/>
      <c r="K10" s="27"/>
      <c r="Y10" s="27"/>
      <c r="Z10" s="27"/>
      <c r="AA10" s="27"/>
      <c r="AB10" s="27"/>
      <c r="AC10" s="27"/>
      <c r="AE10" s="27"/>
      <c r="AF10" s="27"/>
      <c r="AG10" s="27"/>
      <c r="AH10" s="27"/>
      <c r="AI10" s="27"/>
    </row>
    <row r="11" spans="1:35" s="19" customFormat="1" ht="14.5" customHeight="1" x14ac:dyDescent="0.35"/>
    <row r="12" spans="1:35" s="20" customFormat="1" x14ac:dyDescent="0.35"/>
    <row r="13" spans="1:35" s="20" customFormat="1" x14ac:dyDescent="0.35"/>
    <row r="14" spans="1:35" s="20" customFormat="1" x14ac:dyDescent="0.35"/>
    <row r="15" spans="1:35" s="20" customFormat="1" x14ac:dyDescent="0.35"/>
    <row r="16" spans="1:35" s="20" customFormat="1" x14ac:dyDescent="0.35"/>
    <row r="17" spans="31:31" s="20" customFormat="1" x14ac:dyDescent="0.35"/>
    <row r="18" spans="31:31" s="20" customFormat="1" x14ac:dyDescent="0.35">
      <c r="AE18" s="20">
        <f>GETPIVOTDATA("[Measures].[Count of Match_ID]",Team_summery!$A$3)</f>
        <v>60</v>
      </c>
    </row>
    <row r="19" spans="31:31" s="20" customFormat="1" x14ac:dyDescent="0.35"/>
    <row r="20" spans="31:31" s="20" customFormat="1" x14ac:dyDescent="0.35"/>
    <row r="21" spans="31:31" s="20" customFormat="1" x14ac:dyDescent="0.35"/>
    <row r="22" spans="31:31" s="20" customFormat="1" x14ac:dyDescent="0.35"/>
    <row r="23" spans="31:31" s="20" customFormat="1" x14ac:dyDescent="0.35"/>
    <row r="24" spans="31:31" s="20" customFormat="1" x14ac:dyDescent="0.35"/>
    <row r="25" spans="31:31" s="20" customFormat="1" x14ac:dyDescent="0.35"/>
    <row r="26" spans="31:31" s="20" customFormat="1" x14ac:dyDescent="0.35"/>
    <row r="27" spans="31:31" s="20" customFormat="1" x14ac:dyDescent="0.35"/>
    <row r="28" spans="31:31" s="20" customFormat="1" x14ac:dyDescent="0.35"/>
    <row r="29" spans="31:31" s="20" customFormat="1" x14ac:dyDescent="0.35"/>
    <row r="30" spans="31:31" s="20" customFormat="1" x14ac:dyDescent="0.35"/>
    <row r="31" spans="31:31" s="20" customFormat="1" x14ac:dyDescent="0.35"/>
    <row r="32" spans="31:31" s="20" customFormat="1" x14ac:dyDescent="0.35"/>
    <row r="33" s="20" customFormat="1" x14ac:dyDescent="0.35"/>
    <row r="34" s="20" customFormat="1" x14ac:dyDescent="0.35"/>
    <row r="35" s="20" customFormat="1" x14ac:dyDescent="0.35"/>
    <row r="36" s="20" customFormat="1" x14ac:dyDescent="0.35"/>
    <row r="37" s="20" customFormat="1" x14ac:dyDescent="0.35"/>
    <row r="38" s="20" customFormat="1" x14ac:dyDescent="0.35"/>
    <row r="39" s="20" customFormat="1" x14ac:dyDescent="0.35"/>
    <row r="40" customFormat="1" x14ac:dyDescent="0.35"/>
    <row r="41" customFormat="1" x14ac:dyDescent="0.35"/>
  </sheetData>
  <mergeCells count="8">
    <mergeCell ref="AE2:AI5"/>
    <mergeCell ref="AE6:AI10"/>
    <mergeCell ref="A6:E10"/>
    <mergeCell ref="A2:E5"/>
    <mergeCell ref="G2:K5"/>
    <mergeCell ref="G6:K10"/>
    <mergeCell ref="Y2:AC5"/>
    <mergeCell ref="Y6:AC1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44BAC-E83F-4C42-AA16-8F36FDAE3A9C}">
  <dimension ref="A3:C20"/>
  <sheetViews>
    <sheetView workbookViewId="0">
      <selection activeCell="A3" sqref="A3"/>
    </sheetView>
  </sheetViews>
  <sheetFormatPr defaultRowHeight="14.5" x14ac:dyDescent="0.35"/>
  <sheetData>
    <row r="3" spans="1:3" x14ac:dyDescent="0.35">
      <c r="A3" s="2"/>
      <c r="B3" s="3"/>
      <c r="C3" s="4"/>
    </row>
    <row r="4" spans="1:3" x14ac:dyDescent="0.35">
      <c r="A4" s="5"/>
      <c r="B4" s="6"/>
      <c r="C4" s="7"/>
    </row>
    <row r="5" spans="1:3" x14ac:dyDescent="0.35">
      <c r="A5" s="5"/>
      <c r="B5" s="6"/>
      <c r="C5" s="7"/>
    </row>
    <row r="6" spans="1:3" x14ac:dyDescent="0.35">
      <c r="A6" s="5"/>
      <c r="B6" s="6"/>
      <c r="C6" s="7"/>
    </row>
    <row r="7" spans="1:3" x14ac:dyDescent="0.35">
      <c r="A7" s="5"/>
      <c r="B7" s="6"/>
      <c r="C7" s="7"/>
    </row>
    <row r="8" spans="1:3" x14ac:dyDescent="0.35">
      <c r="A8" s="5"/>
      <c r="B8" s="6"/>
      <c r="C8" s="7"/>
    </row>
    <row r="9" spans="1:3" x14ac:dyDescent="0.35">
      <c r="A9" s="5"/>
      <c r="B9" s="6"/>
      <c r="C9" s="7"/>
    </row>
    <row r="10" spans="1:3" x14ac:dyDescent="0.35">
      <c r="A10" s="5"/>
      <c r="B10" s="6"/>
      <c r="C10" s="7"/>
    </row>
    <row r="11" spans="1:3" x14ac:dyDescent="0.35">
      <c r="A11" s="5"/>
      <c r="B11" s="6"/>
      <c r="C11" s="7"/>
    </row>
    <row r="12" spans="1:3" x14ac:dyDescent="0.35">
      <c r="A12" s="5"/>
      <c r="B12" s="6"/>
      <c r="C12" s="7"/>
    </row>
    <row r="13" spans="1:3" x14ac:dyDescent="0.35">
      <c r="A13" s="5"/>
      <c r="B13" s="6"/>
      <c r="C13" s="7"/>
    </row>
    <row r="14" spans="1:3" x14ac:dyDescent="0.35">
      <c r="A14" s="5"/>
      <c r="B14" s="6"/>
      <c r="C14" s="7"/>
    </row>
    <row r="15" spans="1:3" x14ac:dyDescent="0.35">
      <c r="A15" s="5"/>
      <c r="B15" s="6"/>
      <c r="C15" s="7"/>
    </row>
    <row r="16" spans="1:3" x14ac:dyDescent="0.35">
      <c r="A16" s="5"/>
      <c r="B16" s="6"/>
      <c r="C16" s="7"/>
    </row>
    <row r="17" spans="1:3" x14ac:dyDescent="0.35">
      <c r="A17" s="5"/>
      <c r="B17" s="6"/>
      <c r="C17" s="7"/>
    </row>
    <row r="18" spans="1:3" x14ac:dyDescent="0.35">
      <c r="A18" s="5"/>
      <c r="B18" s="6"/>
      <c r="C18" s="7"/>
    </row>
    <row r="19" spans="1:3" x14ac:dyDescent="0.35">
      <c r="A19" s="5"/>
      <c r="B19" s="6"/>
      <c r="C19" s="7"/>
    </row>
    <row r="20" spans="1:3" x14ac:dyDescent="0.35">
      <c r="A20" s="8"/>
      <c r="B20" s="9"/>
      <c r="C20" s="1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35A5C-8AFC-4F47-8F97-507A509BBFA4}">
  <dimension ref="A1:N61"/>
  <sheetViews>
    <sheetView topLeftCell="A22" workbookViewId="0">
      <selection activeCell="G41" sqref="G41:H42"/>
    </sheetView>
  </sheetViews>
  <sheetFormatPr defaultRowHeight="14.5" x14ac:dyDescent="0.35"/>
  <cols>
    <col min="1" max="2" width="11.26953125" bestFit="1" customWidth="1"/>
    <col min="3" max="3" width="9.453125" bestFit="1" customWidth="1"/>
    <col min="4" max="5" width="11.54296875" bestFit="1" customWidth="1"/>
    <col min="6" max="6" width="14" bestFit="1" customWidth="1"/>
    <col min="7" max="7" width="15.7265625" bestFit="1" customWidth="1"/>
    <col min="8" max="8" width="16.08984375" bestFit="1" customWidth="1"/>
    <col min="9" max="10" width="13.81640625" bestFit="1" customWidth="1"/>
    <col min="11" max="12" width="16.453125" bestFit="1" customWidth="1"/>
    <col min="13" max="14" width="14.54296875" bestFit="1" customWidth="1"/>
  </cols>
  <sheetData>
    <row r="1" spans="1:14" x14ac:dyDescent="0.35">
      <c r="A1" t="s">
        <v>201</v>
      </c>
      <c r="B1" t="s">
        <v>175</v>
      </c>
      <c r="C1" t="s">
        <v>202</v>
      </c>
      <c r="D1" t="s">
        <v>203</v>
      </c>
      <c r="E1" t="s">
        <v>204</v>
      </c>
      <c r="F1" t="s">
        <v>205</v>
      </c>
      <c r="G1" t="s">
        <v>206</v>
      </c>
      <c r="H1" t="s">
        <v>207</v>
      </c>
      <c r="I1" t="s">
        <v>208</v>
      </c>
      <c r="J1" t="s">
        <v>209</v>
      </c>
      <c r="K1" t="s">
        <v>210</v>
      </c>
      <c r="L1" t="s">
        <v>211</v>
      </c>
      <c r="M1" t="s">
        <v>212</v>
      </c>
      <c r="N1" t="s">
        <v>213</v>
      </c>
    </row>
    <row r="2" spans="1:14" x14ac:dyDescent="0.35">
      <c r="A2" s="1" t="s">
        <v>214</v>
      </c>
      <c r="B2" s="1" t="s">
        <v>180</v>
      </c>
      <c r="C2" s="1" t="s">
        <v>215</v>
      </c>
      <c r="D2" s="1" t="s">
        <v>36</v>
      </c>
      <c r="E2" s="1" t="s">
        <v>49</v>
      </c>
      <c r="F2" s="1" t="s">
        <v>36</v>
      </c>
      <c r="G2" s="1" t="s">
        <v>36</v>
      </c>
      <c r="H2" s="1" t="s">
        <v>34</v>
      </c>
      <c r="I2" s="1">
        <v>192</v>
      </c>
      <c r="J2" s="1">
        <v>174</v>
      </c>
      <c r="K2" s="1">
        <v>4</v>
      </c>
      <c r="L2" s="1">
        <v>8</v>
      </c>
      <c r="M2" s="1">
        <v>20</v>
      </c>
      <c r="N2" s="1">
        <v>20</v>
      </c>
    </row>
    <row r="3" spans="1:14" x14ac:dyDescent="0.35">
      <c r="A3" s="1" t="s">
        <v>216</v>
      </c>
      <c r="B3" s="1" t="s">
        <v>191</v>
      </c>
      <c r="C3" s="1" t="s">
        <v>217</v>
      </c>
      <c r="D3" s="1" t="s">
        <v>113</v>
      </c>
      <c r="E3" s="1" t="s">
        <v>73</v>
      </c>
      <c r="F3" s="1" t="s">
        <v>113</v>
      </c>
      <c r="G3" s="1" t="s">
        <v>113</v>
      </c>
      <c r="H3" s="1" t="s">
        <v>119</v>
      </c>
      <c r="I3" s="1">
        <v>184</v>
      </c>
      <c r="J3" s="1">
        <v>183</v>
      </c>
      <c r="K3" s="1">
        <v>7</v>
      </c>
      <c r="L3" s="1">
        <v>9</v>
      </c>
      <c r="M3" s="1">
        <v>20</v>
      </c>
      <c r="N3" s="1">
        <v>20</v>
      </c>
    </row>
    <row r="4" spans="1:14" x14ac:dyDescent="0.35">
      <c r="A4" s="1" t="s">
        <v>218</v>
      </c>
      <c r="B4" s="1" t="s">
        <v>184</v>
      </c>
      <c r="C4" s="1" t="s">
        <v>217</v>
      </c>
      <c r="D4" s="1" t="s">
        <v>61</v>
      </c>
      <c r="E4" s="1" t="s">
        <v>100</v>
      </c>
      <c r="F4" s="1" t="s">
        <v>100</v>
      </c>
      <c r="G4" s="1" t="s">
        <v>61</v>
      </c>
      <c r="H4" s="1" t="s">
        <v>63</v>
      </c>
      <c r="I4" s="1">
        <v>208</v>
      </c>
      <c r="J4" s="1">
        <v>198</v>
      </c>
      <c r="K4" s="1">
        <v>6</v>
      </c>
      <c r="L4" s="1">
        <v>7</v>
      </c>
      <c r="M4" s="1">
        <v>20</v>
      </c>
      <c r="N4" s="1">
        <v>20</v>
      </c>
    </row>
    <row r="5" spans="1:14" x14ac:dyDescent="0.35">
      <c r="A5" s="1" t="s">
        <v>219</v>
      </c>
      <c r="B5" s="1" t="s">
        <v>188</v>
      </c>
      <c r="C5" s="1" t="s">
        <v>220</v>
      </c>
      <c r="D5" s="1" t="s">
        <v>86</v>
      </c>
      <c r="E5" s="1" t="s">
        <v>10</v>
      </c>
      <c r="F5" s="1" t="s">
        <v>10</v>
      </c>
      <c r="G5" s="1" t="s">
        <v>86</v>
      </c>
      <c r="H5" s="1" t="s">
        <v>84</v>
      </c>
      <c r="I5" s="1">
        <v>193</v>
      </c>
      <c r="J5" s="1">
        <v>165</v>
      </c>
      <c r="K5" s="1">
        <v>5</v>
      </c>
      <c r="L5" s="1">
        <v>10</v>
      </c>
      <c r="M5" s="1">
        <v>20</v>
      </c>
      <c r="N5" s="1">
        <v>17.2</v>
      </c>
    </row>
    <row r="6" spans="1:14" x14ac:dyDescent="0.35">
      <c r="A6" s="1" t="s">
        <v>221</v>
      </c>
      <c r="B6" s="1" t="s">
        <v>182</v>
      </c>
      <c r="C6" s="1" t="s">
        <v>222</v>
      </c>
      <c r="D6" s="1" t="s">
        <v>49</v>
      </c>
      <c r="E6" s="1" t="s">
        <v>86</v>
      </c>
      <c r="F6" s="1" t="s">
        <v>49</v>
      </c>
      <c r="G6" s="1" t="s">
        <v>86</v>
      </c>
      <c r="H6" s="1" t="s">
        <v>95</v>
      </c>
      <c r="I6" s="1">
        <v>181</v>
      </c>
      <c r="J6" s="1">
        <v>185</v>
      </c>
      <c r="K6" s="1">
        <v>5</v>
      </c>
      <c r="L6" s="1">
        <v>4</v>
      </c>
      <c r="M6" s="1">
        <v>20</v>
      </c>
      <c r="N6" s="1">
        <v>19.3</v>
      </c>
    </row>
    <row r="7" spans="1:14" x14ac:dyDescent="0.35">
      <c r="A7" s="1" t="s">
        <v>223</v>
      </c>
      <c r="B7" s="1" t="s">
        <v>186</v>
      </c>
      <c r="C7" s="1" t="s">
        <v>224</v>
      </c>
      <c r="D7" s="1" t="s">
        <v>73</v>
      </c>
      <c r="E7" s="1" t="s">
        <v>61</v>
      </c>
      <c r="F7" s="1" t="s">
        <v>73</v>
      </c>
      <c r="G7" s="1" t="s">
        <v>61</v>
      </c>
      <c r="H7" s="1" t="s">
        <v>66</v>
      </c>
      <c r="I7" s="1">
        <v>164</v>
      </c>
      <c r="J7" s="1">
        <v>165</v>
      </c>
      <c r="K7" s="1">
        <v>8</v>
      </c>
      <c r="L7" s="1">
        <v>3</v>
      </c>
      <c r="M7" s="1">
        <v>20</v>
      </c>
      <c r="N7" s="1">
        <v>18.399999999999999</v>
      </c>
    </row>
    <row r="8" spans="1:14" x14ac:dyDescent="0.35">
      <c r="A8" s="1" t="s">
        <v>225</v>
      </c>
      <c r="B8" s="1" t="s">
        <v>180</v>
      </c>
      <c r="C8" s="1" t="s">
        <v>226</v>
      </c>
      <c r="D8" s="1" t="s">
        <v>36</v>
      </c>
      <c r="E8" s="1" t="s">
        <v>100</v>
      </c>
      <c r="F8" s="1" t="s">
        <v>100</v>
      </c>
      <c r="G8" s="1" t="s">
        <v>36</v>
      </c>
      <c r="H8" s="1" t="s">
        <v>37</v>
      </c>
      <c r="I8" s="1">
        <v>178</v>
      </c>
      <c r="J8" s="1">
        <v>169</v>
      </c>
      <c r="K8" s="1">
        <v>6</v>
      </c>
      <c r="L8" s="1">
        <v>9</v>
      </c>
      <c r="M8" s="1">
        <v>20</v>
      </c>
      <c r="N8" s="1">
        <v>20</v>
      </c>
    </row>
    <row r="9" spans="1:14" x14ac:dyDescent="0.35">
      <c r="A9" s="1" t="s">
        <v>227</v>
      </c>
      <c r="B9" s="1" t="s">
        <v>178</v>
      </c>
      <c r="C9" s="1" t="s">
        <v>228</v>
      </c>
      <c r="D9" s="1" t="s">
        <v>10</v>
      </c>
      <c r="E9" s="1" t="s">
        <v>113</v>
      </c>
      <c r="F9" s="1" t="s">
        <v>10</v>
      </c>
      <c r="G9" s="1" t="s">
        <v>113</v>
      </c>
      <c r="H9" s="1" t="s">
        <v>117</v>
      </c>
      <c r="I9" s="1">
        <v>154</v>
      </c>
      <c r="J9" s="1">
        <v>155</v>
      </c>
      <c r="K9" s="1">
        <v>10</v>
      </c>
      <c r="L9" s="1">
        <v>3</v>
      </c>
      <c r="M9" s="1">
        <v>20</v>
      </c>
      <c r="N9" s="1">
        <v>17</v>
      </c>
    </row>
    <row r="10" spans="1:14" x14ac:dyDescent="0.35">
      <c r="A10" s="1" t="s">
        <v>229</v>
      </c>
      <c r="B10" s="1" t="s">
        <v>184</v>
      </c>
      <c r="C10" s="1" t="s">
        <v>230</v>
      </c>
      <c r="D10" s="1" t="s">
        <v>61</v>
      </c>
      <c r="E10" s="1" t="s">
        <v>49</v>
      </c>
      <c r="F10" s="1" t="s">
        <v>49</v>
      </c>
      <c r="G10" s="1" t="s">
        <v>61</v>
      </c>
      <c r="H10" s="1" t="s">
        <v>68</v>
      </c>
      <c r="I10" s="1">
        <v>171</v>
      </c>
      <c r="J10" s="1">
        <v>156</v>
      </c>
      <c r="K10" s="1">
        <v>5</v>
      </c>
      <c r="L10" s="1">
        <v>9</v>
      </c>
      <c r="M10" s="1">
        <v>20</v>
      </c>
      <c r="N10" s="1">
        <v>18.3</v>
      </c>
    </row>
    <row r="11" spans="1:14" x14ac:dyDescent="0.35">
      <c r="A11" s="1" t="s">
        <v>231</v>
      </c>
      <c r="B11" s="1" t="s">
        <v>188</v>
      </c>
      <c r="C11" s="1" t="s">
        <v>232</v>
      </c>
      <c r="D11" s="1" t="s">
        <v>86</v>
      </c>
      <c r="E11" s="1" t="s">
        <v>73</v>
      </c>
      <c r="F11" s="1" t="s">
        <v>73</v>
      </c>
      <c r="G11" s="1" t="s">
        <v>73</v>
      </c>
      <c r="H11" s="1" t="s">
        <v>75</v>
      </c>
      <c r="I11" s="1">
        <v>149</v>
      </c>
      <c r="J11" s="1">
        <v>150</v>
      </c>
      <c r="K11" s="1">
        <v>9</v>
      </c>
      <c r="L11" s="1">
        <v>4</v>
      </c>
      <c r="M11" s="1">
        <v>20</v>
      </c>
      <c r="N11" s="1">
        <v>18.100000000000001</v>
      </c>
    </row>
    <row r="12" spans="1:14" x14ac:dyDescent="0.35">
      <c r="A12" s="1" t="s">
        <v>233</v>
      </c>
      <c r="B12" s="1" t="s">
        <v>190</v>
      </c>
      <c r="C12" s="1" t="s">
        <v>234</v>
      </c>
      <c r="D12" s="1" t="s">
        <v>100</v>
      </c>
      <c r="E12" s="1" t="s">
        <v>10</v>
      </c>
      <c r="F12" s="1" t="s">
        <v>10</v>
      </c>
      <c r="G12" s="1" t="s">
        <v>100</v>
      </c>
      <c r="H12" s="1" t="s">
        <v>98</v>
      </c>
      <c r="I12" s="1">
        <v>177</v>
      </c>
      <c r="J12" s="1">
        <v>152</v>
      </c>
      <c r="K12" s="1">
        <v>7</v>
      </c>
      <c r="L12" s="1">
        <v>8</v>
      </c>
      <c r="M12" s="1">
        <v>20</v>
      </c>
      <c r="N12" s="1">
        <v>18.399999999999999</v>
      </c>
    </row>
    <row r="13" spans="1:14" x14ac:dyDescent="0.35">
      <c r="A13" s="1" t="s">
        <v>235</v>
      </c>
      <c r="B13" s="1" t="s">
        <v>191</v>
      </c>
      <c r="C13" s="1" t="s">
        <v>236</v>
      </c>
      <c r="D13" s="1" t="s">
        <v>113</v>
      </c>
      <c r="E13" s="1" t="s">
        <v>36</v>
      </c>
      <c r="F13" s="1" t="s">
        <v>36</v>
      </c>
      <c r="G13" s="1" t="s">
        <v>36</v>
      </c>
      <c r="H13" s="1" t="s">
        <v>41</v>
      </c>
      <c r="I13" s="1">
        <v>161</v>
      </c>
      <c r="J13" s="1">
        <v>162</v>
      </c>
      <c r="K13" s="1">
        <v>8</v>
      </c>
      <c r="L13" s="1">
        <v>6</v>
      </c>
      <c r="M13" s="1">
        <v>20</v>
      </c>
      <c r="N13" s="1">
        <v>19.2</v>
      </c>
    </row>
    <row r="14" spans="1:14" x14ac:dyDescent="0.35">
      <c r="A14" s="1" t="s">
        <v>237</v>
      </c>
      <c r="B14" s="1" t="s">
        <v>182</v>
      </c>
      <c r="C14" s="1" t="s">
        <v>238</v>
      </c>
      <c r="D14" s="1" t="s">
        <v>49</v>
      </c>
      <c r="E14" s="1" t="s">
        <v>73</v>
      </c>
      <c r="F14" s="1" t="s">
        <v>73</v>
      </c>
      <c r="G14" s="1" t="s">
        <v>49</v>
      </c>
      <c r="H14" s="1" t="s">
        <v>47</v>
      </c>
      <c r="I14" s="1">
        <v>198</v>
      </c>
      <c r="J14" s="1">
        <v>187</v>
      </c>
      <c r="K14" s="1">
        <v>3</v>
      </c>
      <c r="L14" s="1">
        <v>8</v>
      </c>
      <c r="M14" s="1">
        <v>20</v>
      </c>
      <c r="N14" s="1">
        <v>20</v>
      </c>
    </row>
    <row r="15" spans="1:14" x14ac:dyDescent="0.35">
      <c r="A15" s="1" t="s">
        <v>239</v>
      </c>
      <c r="B15" s="1" t="s">
        <v>178</v>
      </c>
      <c r="C15" s="1" t="s">
        <v>240</v>
      </c>
      <c r="D15" s="1" t="s">
        <v>10</v>
      </c>
      <c r="E15" s="1" t="s">
        <v>86</v>
      </c>
      <c r="F15" s="1" t="s">
        <v>86</v>
      </c>
      <c r="G15" s="1" t="s">
        <v>10</v>
      </c>
      <c r="H15" s="1" t="s">
        <v>8</v>
      </c>
      <c r="I15" s="1">
        <v>188</v>
      </c>
      <c r="J15" s="1">
        <v>186</v>
      </c>
      <c r="K15" s="1">
        <v>6</v>
      </c>
      <c r="L15" s="1">
        <v>8</v>
      </c>
      <c r="M15" s="1">
        <v>20</v>
      </c>
      <c r="N15" s="1">
        <v>20</v>
      </c>
    </row>
    <row r="16" spans="1:14" x14ac:dyDescent="0.35">
      <c r="A16" s="1" t="s">
        <v>241</v>
      </c>
      <c r="B16" s="1" t="s">
        <v>184</v>
      </c>
      <c r="C16" s="1" t="s">
        <v>242</v>
      </c>
      <c r="D16" s="1" t="s">
        <v>61</v>
      </c>
      <c r="E16" s="1" t="s">
        <v>113</v>
      </c>
      <c r="F16" s="1" t="s">
        <v>113</v>
      </c>
      <c r="G16" s="1" t="s">
        <v>113</v>
      </c>
      <c r="H16" s="1" t="s">
        <v>111</v>
      </c>
      <c r="I16" s="1">
        <v>169</v>
      </c>
      <c r="J16" s="1">
        <v>170</v>
      </c>
      <c r="K16" s="1">
        <v>8</v>
      </c>
      <c r="L16" s="1">
        <v>4</v>
      </c>
      <c r="M16" s="1">
        <v>20</v>
      </c>
      <c r="N16" s="1">
        <v>19.100000000000001</v>
      </c>
    </row>
    <row r="17" spans="1:14" x14ac:dyDescent="0.35">
      <c r="A17" s="1" t="s">
        <v>243</v>
      </c>
      <c r="B17" s="1" t="s">
        <v>186</v>
      </c>
      <c r="C17" s="1" t="s">
        <v>244</v>
      </c>
      <c r="D17" s="1" t="s">
        <v>73</v>
      </c>
      <c r="E17" s="1" t="s">
        <v>100</v>
      </c>
      <c r="F17" s="1" t="s">
        <v>73</v>
      </c>
      <c r="G17" s="1" t="s">
        <v>100</v>
      </c>
      <c r="H17" s="1" t="s">
        <v>101</v>
      </c>
      <c r="I17" s="1">
        <v>155</v>
      </c>
      <c r="J17" s="1">
        <v>156</v>
      </c>
      <c r="K17" s="1">
        <v>10</v>
      </c>
      <c r="L17" s="1">
        <v>6</v>
      </c>
      <c r="M17" s="1">
        <v>20</v>
      </c>
      <c r="N17" s="1">
        <v>19.399999999999999</v>
      </c>
    </row>
    <row r="18" spans="1:14" x14ac:dyDescent="0.35">
      <c r="A18" s="1" t="s">
        <v>245</v>
      </c>
      <c r="B18" s="1" t="s">
        <v>180</v>
      </c>
      <c r="C18" s="1" t="s">
        <v>246</v>
      </c>
      <c r="D18" s="1" t="s">
        <v>36</v>
      </c>
      <c r="E18" s="1" t="s">
        <v>10</v>
      </c>
      <c r="F18" s="1" t="s">
        <v>10</v>
      </c>
      <c r="G18" s="1" t="s">
        <v>36</v>
      </c>
      <c r="H18" s="1" t="s">
        <v>34</v>
      </c>
      <c r="I18" s="1">
        <v>180</v>
      </c>
      <c r="J18" s="1">
        <v>178</v>
      </c>
      <c r="K18" s="1">
        <v>5</v>
      </c>
      <c r="L18" s="1">
        <v>8</v>
      </c>
      <c r="M18" s="1">
        <v>20</v>
      </c>
      <c r="N18" s="1">
        <v>20</v>
      </c>
    </row>
    <row r="19" spans="1:14" x14ac:dyDescent="0.35">
      <c r="A19" s="1" t="s">
        <v>247</v>
      </c>
      <c r="B19" s="1" t="s">
        <v>182</v>
      </c>
      <c r="C19" s="1" t="s">
        <v>248</v>
      </c>
      <c r="D19" s="1" t="s">
        <v>49</v>
      </c>
      <c r="E19" s="1" t="s">
        <v>113</v>
      </c>
      <c r="F19" s="1" t="s">
        <v>49</v>
      </c>
      <c r="G19" s="1" t="s">
        <v>49</v>
      </c>
      <c r="H19" s="1" t="s">
        <v>53</v>
      </c>
      <c r="I19" s="1">
        <v>194</v>
      </c>
      <c r="J19" s="1">
        <v>188</v>
      </c>
      <c r="K19" s="1">
        <v>6</v>
      </c>
      <c r="L19" s="1">
        <v>7</v>
      </c>
      <c r="M19" s="1">
        <v>20</v>
      </c>
      <c r="N19" s="1">
        <v>20</v>
      </c>
    </row>
    <row r="20" spans="1:14" x14ac:dyDescent="0.35">
      <c r="A20" s="1" t="s">
        <v>249</v>
      </c>
      <c r="B20" s="1" t="s">
        <v>188</v>
      </c>
      <c r="C20" s="1" t="s">
        <v>250</v>
      </c>
      <c r="D20" s="1" t="s">
        <v>86</v>
      </c>
      <c r="E20" s="1" t="s">
        <v>61</v>
      </c>
      <c r="F20" s="1" t="s">
        <v>61</v>
      </c>
      <c r="G20" s="1" t="s">
        <v>86</v>
      </c>
      <c r="H20" s="1" t="s">
        <v>89</v>
      </c>
      <c r="I20" s="1">
        <v>172</v>
      </c>
      <c r="J20" s="1">
        <v>171</v>
      </c>
      <c r="K20" s="1">
        <v>9</v>
      </c>
      <c r="L20" s="1">
        <v>10</v>
      </c>
      <c r="M20" s="1">
        <v>20</v>
      </c>
      <c r="N20" s="1">
        <v>20</v>
      </c>
    </row>
    <row r="21" spans="1:14" x14ac:dyDescent="0.35">
      <c r="A21" s="1" t="s">
        <v>251</v>
      </c>
      <c r="B21" s="1" t="s">
        <v>190</v>
      </c>
      <c r="C21" s="1" t="s">
        <v>252</v>
      </c>
      <c r="D21" s="1" t="s">
        <v>100</v>
      </c>
      <c r="E21" s="1" t="s">
        <v>73</v>
      </c>
      <c r="F21" s="1" t="s">
        <v>73</v>
      </c>
      <c r="G21" s="1" t="s">
        <v>73</v>
      </c>
      <c r="H21" s="1" t="s">
        <v>79</v>
      </c>
      <c r="I21" s="1">
        <v>166</v>
      </c>
      <c r="J21" s="1">
        <v>167</v>
      </c>
      <c r="K21" s="1">
        <v>7</v>
      </c>
      <c r="L21" s="1">
        <v>5</v>
      </c>
      <c r="M21" s="1">
        <v>20</v>
      </c>
      <c r="N21" s="1">
        <v>19.100000000000001</v>
      </c>
    </row>
    <row r="22" spans="1:14" x14ac:dyDescent="0.35">
      <c r="A22" s="1" t="s">
        <v>253</v>
      </c>
      <c r="B22" s="1" t="s">
        <v>178</v>
      </c>
      <c r="C22" s="1" t="s">
        <v>254</v>
      </c>
      <c r="D22" s="1" t="s">
        <v>10</v>
      </c>
      <c r="E22" s="1" t="s">
        <v>61</v>
      </c>
      <c r="F22" s="1" t="s">
        <v>61</v>
      </c>
      <c r="G22" s="1" t="s">
        <v>10</v>
      </c>
      <c r="H22" s="1" t="s">
        <v>16</v>
      </c>
      <c r="I22" s="1">
        <v>175</v>
      </c>
      <c r="J22" s="1">
        <v>170</v>
      </c>
      <c r="K22" s="1">
        <v>7</v>
      </c>
      <c r="L22" s="1">
        <v>9</v>
      </c>
      <c r="M22" s="1">
        <v>20</v>
      </c>
      <c r="N22" s="1">
        <v>20</v>
      </c>
    </row>
    <row r="23" spans="1:14" x14ac:dyDescent="0.35">
      <c r="A23" s="1" t="s">
        <v>255</v>
      </c>
      <c r="B23" s="1" t="s">
        <v>191</v>
      </c>
      <c r="C23" s="1" t="s">
        <v>256</v>
      </c>
      <c r="D23" s="1" t="s">
        <v>113</v>
      </c>
      <c r="E23" s="1" t="s">
        <v>86</v>
      </c>
      <c r="F23" s="1" t="s">
        <v>86</v>
      </c>
      <c r="G23" s="1" t="s">
        <v>113</v>
      </c>
      <c r="H23" s="1" t="s">
        <v>115</v>
      </c>
      <c r="I23" s="1">
        <v>159</v>
      </c>
      <c r="J23" s="1">
        <v>158</v>
      </c>
      <c r="K23" s="1">
        <v>6</v>
      </c>
      <c r="L23" s="1">
        <v>7</v>
      </c>
      <c r="M23" s="1">
        <v>20</v>
      </c>
      <c r="N23" s="1">
        <v>20</v>
      </c>
    </row>
    <row r="24" spans="1:14" x14ac:dyDescent="0.35">
      <c r="A24" s="1" t="s">
        <v>257</v>
      </c>
      <c r="B24" s="1" t="s">
        <v>180</v>
      </c>
      <c r="C24" s="1" t="s">
        <v>258</v>
      </c>
      <c r="D24" s="1" t="s">
        <v>36</v>
      </c>
      <c r="E24" s="1" t="s">
        <v>49</v>
      </c>
      <c r="F24" s="1" t="s">
        <v>49</v>
      </c>
      <c r="G24" s="1" t="s">
        <v>49</v>
      </c>
      <c r="H24" s="1" t="s">
        <v>47</v>
      </c>
      <c r="I24" s="1">
        <v>183</v>
      </c>
      <c r="J24" s="1">
        <v>184</v>
      </c>
      <c r="K24" s="1">
        <v>8</v>
      </c>
      <c r="L24" s="1">
        <v>6</v>
      </c>
      <c r="M24" s="1">
        <v>20</v>
      </c>
      <c r="N24" s="1">
        <v>19.399999999999999</v>
      </c>
    </row>
    <row r="25" spans="1:14" x14ac:dyDescent="0.35">
      <c r="A25" s="1" t="s">
        <v>259</v>
      </c>
      <c r="B25" s="1" t="s">
        <v>186</v>
      </c>
      <c r="C25" s="1" t="s">
        <v>260</v>
      </c>
      <c r="D25" s="1" t="s">
        <v>73</v>
      </c>
      <c r="E25" s="1" t="s">
        <v>10</v>
      </c>
      <c r="F25" s="1" t="s">
        <v>73</v>
      </c>
      <c r="G25" s="1" t="s">
        <v>10</v>
      </c>
      <c r="H25" s="1" t="s">
        <v>21</v>
      </c>
      <c r="I25" s="1">
        <v>168</v>
      </c>
      <c r="J25" s="1">
        <v>171</v>
      </c>
      <c r="K25" s="1">
        <v>5</v>
      </c>
      <c r="L25" s="1">
        <v>4</v>
      </c>
      <c r="M25" s="1">
        <v>20</v>
      </c>
      <c r="N25" s="1">
        <v>19.100000000000001</v>
      </c>
    </row>
    <row r="26" spans="1:14" x14ac:dyDescent="0.35">
      <c r="A26" s="1" t="s">
        <v>261</v>
      </c>
      <c r="B26" s="1" t="s">
        <v>190</v>
      </c>
      <c r="C26" s="1" t="s">
        <v>262</v>
      </c>
      <c r="D26" s="1" t="s">
        <v>100</v>
      </c>
      <c r="E26" s="1" t="s">
        <v>113</v>
      </c>
      <c r="F26" s="1" t="s">
        <v>100</v>
      </c>
      <c r="G26" s="1" t="s">
        <v>113</v>
      </c>
      <c r="H26" s="1" t="s">
        <v>119</v>
      </c>
      <c r="I26" s="1">
        <v>186</v>
      </c>
      <c r="J26" s="1">
        <v>187</v>
      </c>
      <c r="K26" s="1">
        <v>6</v>
      </c>
      <c r="L26" s="1">
        <v>5</v>
      </c>
      <c r="M26" s="1">
        <v>20</v>
      </c>
      <c r="N26" s="1">
        <v>19.2</v>
      </c>
    </row>
    <row r="27" spans="1:14" x14ac:dyDescent="0.35">
      <c r="A27" s="1" t="s">
        <v>263</v>
      </c>
      <c r="B27" s="1" t="s">
        <v>184</v>
      </c>
      <c r="C27" s="1" t="s">
        <v>264</v>
      </c>
      <c r="D27" s="1" t="s">
        <v>61</v>
      </c>
      <c r="E27" s="1" t="s">
        <v>36</v>
      </c>
      <c r="F27" s="1" t="s">
        <v>36</v>
      </c>
      <c r="G27" s="1" t="s">
        <v>36</v>
      </c>
      <c r="H27" s="1" t="s">
        <v>44</v>
      </c>
      <c r="I27" s="1">
        <v>160</v>
      </c>
      <c r="J27" s="1">
        <v>161</v>
      </c>
      <c r="K27" s="1">
        <v>9</v>
      </c>
      <c r="L27" s="1">
        <v>7</v>
      </c>
      <c r="M27" s="1">
        <v>20</v>
      </c>
      <c r="N27" s="1">
        <v>19.5</v>
      </c>
    </row>
    <row r="28" spans="1:14" x14ac:dyDescent="0.35">
      <c r="A28" s="1" t="s">
        <v>265</v>
      </c>
      <c r="B28" s="1" t="s">
        <v>188</v>
      </c>
      <c r="C28" s="1" t="s">
        <v>266</v>
      </c>
      <c r="D28" s="1" t="s">
        <v>86</v>
      </c>
      <c r="E28" s="1" t="s">
        <v>49</v>
      </c>
      <c r="F28" s="1" t="s">
        <v>49</v>
      </c>
      <c r="G28" s="1" t="s">
        <v>86</v>
      </c>
      <c r="H28" s="1" t="s">
        <v>84</v>
      </c>
      <c r="I28" s="1">
        <v>190</v>
      </c>
      <c r="J28" s="1">
        <v>185</v>
      </c>
      <c r="K28" s="1">
        <v>5</v>
      </c>
      <c r="L28" s="1">
        <v>8</v>
      </c>
      <c r="M28" s="1">
        <v>20</v>
      </c>
      <c r="N28" s="1">
        <v>20</v>
      </c>
    </row>
    <row r="29" spans="1:14" x14ac:dyDescent="0.35">
      <c r="A29" s="1" t="s">
        <v>267</v>
      </c>
      <c r="B29" s="1" t="s">
        <v>178</v>
      </c>
      <c r="C29" s="1" t="s">
        <v>268</v>
      </c>
      <c r="D29" s="1" t="s">
        <v>10</v>
      </c>
      <c r="E29" s="1" t="s">
        <v>73</v>
      </c>
      <c r="F29" s="1" t="s">
        <v>10</v>
      </c>
      <c r="G29" s="1" t="s">
        <v>10</v>
      </c>
      <c r="H29" s="1" t="s">
        <v>27</v>
      </c>
      <c r="I29" s="1">
        <v>189</v>
      </c>
      <c r="J29" s="1">
        <v>173</v>
      </c>
      <c r="K29" s="1">
        <v>3</v>
      </c>
      <c r="L29" s="1">
        <v>9</v>
      </c>
      <c r="M29" s="1">
        <v>20</v>
      </c>
      <c r="N29" s="1">
        <v>20</v>
      </c>
    </row>
    <row r="30" spans="1:14" x14ac:dyDescent="0.35">
      <c r="A30" s="1" t="s">
        <v>269</v>
      </c>
      <c r="B30" s="1" t="s">
        <v>191</v>
      </c>
      <c r="C30" s="1" t="s">
        <v>270</v>
      </c>
      <c r="D30" s="1" t="s">
        <v>113</v>
      </c>
      <c r="E30" s="1" t="s">
        <v>100</v>
      </c>
      <c r="F30" s="1" t="s">
        <v>113</v>
      </c>
      <c r="G30" s="1" t="s">
        <v>100</v>
      </c>
      <c r="H30" s="1" t="s">
        <v>105</v>
      </c>
      <c r="I30" s="1">
        <v>157</v>
      </c>
      <c r="J30" s="1">
        <v>158</v>
      </c>
      <c r="K30" s="1">
        <v>7</v>
      </c>
      <c r="L30" s="1">
        <v>6</v>
      </c>
      <c r="M30" s="1">
        <v>20</v>
      </c>
      <c r="N30" s="1">
        <v>19.3</v>
      </c>
    </row>
    <row r="31" spans="1:14" x14ac:dyDescent="0.35">
      <c r="A31" s="1" t="s">
        <v>271</v>
      </c>
      <c r="B31" s="1" t="s">
        <v>180</v>
      </c>
      <c r="C31" s="1" t="s">
        <v>272</v>
      </c>
      <c r="D31" s="1" t="s">
        <v>36</v>
      </c>
      <c r="E31" s="1" t="s">
        <v>61</v>
      </c>
      <c r="F31" s="1" t="s">
        <v>61</v>
      </c>
      <c r="G31" s="1" t="s">
        <v>61</v>
      </c>
      <c r="H31" s="1" t="s">
        <v>59</v>
      </c>
      <c r="I31" s="1">
        <v>179</v>
      </c>
      <c r="J31" s="1">
        <v>180</v>
      </c>
      <c r="K31" s="1">
        <v>6</v>
      </c>
      <c r="L31" s="1">
        <v>5</v>
      </c>
      <c r="M31" s="1">
        <v>20</v>
      </c>
      <c r="N31" s="1">
        <v>19.2</v>
      </c>
    </row>
    <row r="32" spans="1:14" x14ac:dyDescent="0.35">
      <c r="A32" s="1" t="s">
        <v>273</v>
      </c>
      <c r="B32" s="1" t="s">
        <v>182</v>
      </c>
      <c r="C32" s="1" t="s">
        <v>274</v>
      </c>
      <c r="D32" s="1" t="s">
        <v>49</v>
      </c>
      <c r="E32" s="1" t="s">
        <v>10</v>
      </c>
      <c r="F32" s="1" t="s">
        <v>10</v>
      </c>
      <c r="G32" s="1" t="s">
        <v>49</v>
      </c>
      <c r="H32" s="1" t="s">
        <v>56</v>
      </c>
      <c r="I32" s="1">
        <v>195</v>
      </c>
      <c r="J32" s="1">
        <v>190</v>
      </c>
      <c r="K32" s="1">
        <v>4</v>
      </c>
      <c r="L32" s="1">
        <v>8</v>
      </c>
      <c r="M32" s="1">
        <v>20</v>
      </c>
      <c r="N32" s="1">
        <v>20</v>
      </c>
    </row>
    <row r="33" spans="1:14" x14ac:dyDescent="0.35">
      <c r="A33" s="1" t="s">
        <v>275</v>
      </c>
      <c r="B33" s="1" t="s">
        <v>186</v>
      </c>
      <c r="C33" s="1" t="s">
        <v>276</v>
      </c>
      <c r="D33" s="1" t="s">
        <v>73</v>
      </c>
      <c r="E33" s="1" t="s">
        <v>86</v>
      </c>
      <c r="F33" s="1" t="s">
        <v>86</v>
      </c>
      <c r="G33" s="1" t="s">
        <v>73</v>
      </c>
      <c r="H33" s="1" t="s">
        <v>81</v>
      </c>
      <c r="I33" s="1">
        <v>170</v>
      </c>
      <c r="J33" s="1">
        <v>169</v>
      </c>
      <c r="K33" s="1">
        <v>6</v>
      </c>
      <c r="L33" s="1">
        <v>7</v>
      </c>
      <c r="M33" s="1">
        <v>20</v>
      </c>
      <c r="N33" s="1">
        <v>20</v>
      </c>
    </row>
    <row r="34" spans="1:14" x14ac:dyDescent="0.35">
      <c r="A34" s="1" t="s">
        <v>277</v>
      </c>
      <c r="B34" s="1" t="s">
        <v>190</v>
      </c>
      <c r="C34" s="1" t="s">
        <v>278</v>
      </c>
      <c r="D34" s="1" t="s">
        <v>100</v>
      </c>
      <c r="E34" s="1" t="s">
        <v>36</v>
      </c>
      <c r="F34" s="1" t="s">
        <v>100</v>
      </c>
      <c r="G34" s="1" t="s">
        <v>100</v>
      </c>
      <c r="H34" s="1" t="s">
        <v>107</v>
      </c>
      <c r="I34" s="1">
        <v>182</v>
      </c>
      <c r="J34" s="1">
        <v>175</v>
      </c>
      <c r="K34" s="1">
        <v>5</v>
      </c>
      <c r="L34" s="1">
        <v>9</v>
      </c>
      <c r="M34" s="1">
        <v>20</v>
      </c>
      <c r="N34" s="1">
        <v>20</v>
      </c>
    </row>
    <row r="35" spans="1:14" x14ac:dyDescent="0.35">
      <c r="A35" s="1" t="s">
        <v>279</v>
      </c>
      <c r="B35" s="1" t="s">
        <v>184</v>
      </c>
      <c r="C35" s="1" t="s">
        <v>280</v>
      </c>
      <c r="D35" s="1" t="s">
        <v>61</v>
      </c>
      <c r="E35" s="1" t="s">
        <v>73</v>
      </c>
      <c r="F35" s="1" t="s">
        <v>73</v>
      </c>
      <c r="G35" s="1" t="s">
        <v>61</v>
      </c>
      <c r="H35" s="1" t="s">
        <v>63</v>
      </c>
      <c r="I35" s="1">
        <v>185</v>
      </c>
      <c r="J35" s="1">
        <v>178</v>
      </c>
      <c r="K35" s="1">
        <v>7</v>
      </c>
      <c r="L35" s="1">
        <v>9</v>
      </c>
      <c r="M35" s="1">
        <v>20</v>
      </c>
      <c r="N35" s="1">
        <v>20</v>
      </c>
    </row>
    <row r="36" spans="1:14" x14ac:dyDescent="0.35">
      <c r="A36" s="1" t="s">
        <v>281</v>
      </c>
      <c r="B36" s="1" t="s">
        <v>191</v>
      </c>
      <c r="C36" s="1" t="s">
        <v>282</v>
      </c>
      <c r="D36" s="1" t="s">
        <v>113</v>
      </c>
      <c r="E36" s="1" t="s">
        <v>49</v>
      </c>
      <c r="F36" s="1" t="s">
        <v>113</v>
      </c>
      <c r="G36" s="1" t="s">
        <v>113</v>
      </c>
      <c r="H36" s="1" t="s">
        <v>117</v>
      </c>
      <c r="I36" s="1">
        <v>197</v>
      </c>
      <c r="J36" s="1">
        <v>196</v>
      </c>
      <c r="K36" s="1">
        <v>5</v>
      </c>
      <c r="L36" s="1">
        <v>8</v>
      </c>
      <c r="M36" s="1">
        <v>20</v>
      </c>
      <c r="N36" s="1">
        <v>20</v>
      </c>
    </row>
    <row r="37" spans="1:14" x14ac:dyDescent="0.35">
      <c r="A37" s="1" t="s">
        <v>283</v>
      </c>
      <c r="B37" s="1" t="s">
        <v>178</v>
      </c>
      <c r="C37" s="1" t="s">
        <v>284</v>
      </c>
      <c r="D37" s="1" t="s">
        <v>10</v>
      </c>
      <c r="E37" s="1" t="s">
        <v>100</v>
      </c>
      <c r="F37" s="1" t="s">
        <v>100</v>
      </c>
      <c r="G37" s="1" t="s">
        <v>10</v>
      </c>
      <c r="H37" s="1" t="s">
        <v>31</v>
      </c>
      <c r="I37" s="1">
        <v>176</v>
      </c>
      <c r="J37" s="1">
        <v>172</v>
      </c>
      <c r="K37" s="1">
        <v>4</v>
      </c>
      <c r="L37" s="1">
        <v>8</v>
      </c>
      <c r="M37" s="1">
        <v>20</v>
      </c>
      <c r="N37" s="1">
        <v>20</v>
      </c>
    </row>
    <row r="38" spans="1:14" x14ac:dyDescent="0.35">
      <c r="A38" s="1" t="s">
        <v>285</v>
      </c>
      <c r="B38" s="1" t="s">
        <v>188</v>
      </c>
      <c r="C38" s="1" t="s">
        <v>286</v>
      </c>
      <c r="D38" s="1" t="s">
        <v>86</v>
      </c>
      <c r="E38" s="1" t="s">
        <v>113</v>
      </c>
      <c r="F38" s="1" t="s">
        <v>113</v>
      </c>
      <c r="G38" s="1" t="s">
        <v>86</v>
      </c>
      <c r="H38" s="1" t="s">
        <v>91</v>
      </c>
      <c r="I38" s="1">
        <v>153</v>
      </c>
      <c r="J38" s="1">
        <v>150</v>
      </c>
      <c r="K38" s="1">
        <v>8</v>
      </c>
      <c r="L38" s="1">
        <v>10</v>
      </c>
      <c r="M38" s="1">
        <v>20</v>
      </c>
      <c r="N38" s="1">
        <v>19.3</v>
      </c>
    </row>
    <row r="39" spans="1:14" x14ac:dyDescent="0.35">
      <c r="A39" s="1" t="s">
        <v>287</v>
      </c>
      <c r="B39" s="1" t="s">
        <v>180</v>
      </c>
      <c r="C39" s="1" t="s">
        <v>288</v>
      </c>
      <c r="D39" s="1" t="s">
        <v>36</v>
      </c>
      <c r="E39" s="1" t="s">
        <v>73</v>
      </c>
      <c r="F39" s="1" t="s">
        <v>73</v>
      </c>
      <c r="G39" s="1" t="s">
        <v>36</v>
      </c>
      <c r="H39" s="1" t="s">
        <v>37</v>
      </c>
      <c r="I39" s="1">
        <v>163</v>
      </c>
      <c r="J39" s="1">
        <v>158</v>
      </c>
      <c r="K39" s="1">
        <v>7</v>
      </c>
      <c r="L39" s="1">
        <v>8</v>
      </c>
      <c r="M39" s="1">
        <v>20</v>
      </c>
      <c r="N39" s="1">
        <v>20</v>
      </c>
    </row>
    <row r="40" spans="1:14" x14ac:dyDescent="0.35">
      <c r="A40" s="1" t="s">
        <v>289</v>
      </c>
      <c r="B40" s="1" t="s">
        <v>182</v>
      </c>
      <c r="C40" s="1" t="s">
        <v>290</v>
      </c>
      <c r="D40" s="1" t="s">
        <v>49</v>
      </c>
      <c r="E40" s="1" t="s">
        <v>61</v>
      </c>
      <c r="F40" s="1" t="s">
        <v>61</v>
      </c>
      <c r="G40" s="1" t="s">
        <v>49</v>
      </c>
      <c r="H40" s="1" t="s">
        <v>47</v>
      </c>
      <c r="I40" s="1">
        <v>200</v>
      </c>
      <c r="J40" s="1">
        <v>195</v>
      </c>
      <c r="K40" s="1">
        <v>5</v>
      </c>
      <c r="L40" s="1">
        <v>8</v>
      </c>
      <c r="M40" s="1">
        <v>20</v>
      </c>
      <c r="N40" s="1">
        <v>20</v>
      </c>
    </row>
    <row r="41" spans="1:14" x14ac:dyDescent="0.35">
      <c r="A41" s="1" t="s">
        <v>291</v>
      </c>
      <c r="B41" s="1" t="s">
        <v>190</v>
      </c>
      <c r="C41" s="1" t="s">
        <v>292</v>
      </c>
      <c r="D41" s="1" t="s">
        <v>100</v>
      </c>
      <c r="E41" s="1" t="s">
        <v>86</v>
      </c>
      <c r="F41" s="1" t="s">
        <v>100</v>
      </c>
      <c r="G41" s="1" t="s">
        <v>86</v>
      </c>
      <c r="H41" s="1" t="s">
        <v>95</v>
      </c>
      <c r="I41" s="1">
        <v>180</v>
      </c>
      <c r="J41" s="1">
        <v>181</v>
      </c>
      <c r="K41" s="1">
        <v>7</v>
      </c>
      <c r="L41" s="1">
        <v>4</v>
      </c>
      <c r="M41" s="1">
        <v>20</v>
      </c>
      <c r="N41" s="1">
        <v>19.399999999999999</v>
      </c>
    </row>
    <row r="42" spans="1:14" x14ac:dyDescent="0.35">
      <c r="A42" s="1" t="s">
        <v>293</v>
      </c>
      <c r="B42" s="1" t="s">
        <v>191</v>
      </c>
      <c r="C42" s="1" t="s">
        <v>294</v>
      </c>
      <c r="D42" s="1" t="s">
        <v>113</v>
      </c>
      <c r="E42" s="1" t="s">
        <v>10</v>
      </c>
      <c r="F42" s="1" t="s">
        <v>10</v>
      </c>
      <c r="G42" s="1" t="s">
        <v>113</v>
      </c>
      <c r="H42" s="1" t="s">
        <v>111</v>
      </c>
      <c r="I42" s="1">
        <v>174</v>
      </c>
      <c r="J42" s="1">
        <v>173</v>
      </c>
      <c r="K42" s="1">
        <v>6</v>
      </c>
      <c r="L42" s="1">
        <v>7</v>
      </c>
      <c r="M42" s="1">
        <v>20</v>
      </c>
      <c r="N42" s="1">
        <v>20</v>
      </c>
    </row>
    <row r="43" spans="1:14" x14ac:dyDescent="0.35">
      <c r="A43" s="1" t="s">
        <v>295</v>
      </c>
      <c r="B43" s="1" t="s">
        <v>186</v>
      </c>
      <c r="C43" s="1" t="s">
        <v>296</v>
      </c>
      <c r="D43" s="1" t="s">
        <v>73</v>
      </c>
      <c r="E43" s="1" t="s">
        <v>36</v>
      </c>
      <c r="F43" s="1" t="s">
        <v>36</v>
      </c>
      <c r="G43" s="1" t="s">
        <v>73</v>
      </c>
      <c r="H43" s="1" t="s">
        <v>71</v>
      </c>
      <c r="I43" s="1">
        <v>187</v>
      </c>
      <c r="J43" s="1">
        <v>175</v>
      </c>
      <c r="K43" s="1">
        <v>4</v>
      </c>
      <c r="L43" s="1">
        <v>9</v>
      </c>
      <c r="M43" s="1">
        <v>20</v>
      </c>
      <c r="N43" s="1">
        <v>20</v>
      </c>
    </row>
    <row r="44" spans="1:14" x14ac:dyDescent="0.35">
      <c r="A44" s="1" t="s">
        <v>297</v>
      </c>
      <c r="B44" s="1" t="s">
        <v>178</v>
      </c>
      <c r="C44" s="1" t="s">
        <v>298</v>
      </c>
      <c r="D44" s="1" t="s">
        <v>10</v>
      </c>
      <c r="E44" s="1" t="s">
        <v>49</v>
      </c>
      <c r="F44" s="1" t="s">
        <v>49</v>
      </c>
      <c r="G44" s="1" t="s">
        <v>49</v>
      </c>
      <c r="H44" s="1" t="s">
        <v>51</v>
      </c>
      <c r="I44" s="1">
        <v>162</v>
      </c>
      <c r="J44" s="1">
        <v>165</v>
      </c>
      <c r="K44" s="1">
        <v>9</v>
      </c>
      <c r="L44" s="1">
        <v>5</v>
      </c>
      <c r="M44" s="1">
        <v>20</v>
      </c>
      <c r="N44" s="1">
        <v>19.2</v>
      </c>
    </row>
    <row r="45" spans="1:14" x14ac:dyDescent="0.35">
      <c r="A45" s="1" t="s">
        <v>299</v>
      </c>
      <c r="B45" s="1" t="s">
        <v>184</v>
      </c>
      <c r="C45" s="1" t="s">
        <v>300</v>
      </c>
      <c r="D45" s="1" t="s">
        <v>61</v>
      </c>
      <c r="E45" s="1" t="s">
        <v>86</v>
      </c>
      <c r="F45" s="1" t="s">
        <v>86</v>
      </c>
      <c r="G45" s="1" t="s">
        <v>61</v>
      </c>
      <c r="H45" s="1" t="s">
        <v>59</v>
      </c>
      <c r="I45" s="1">
        <v>196</v>
      </c>
      <c r="J45" s="1">
        <v>188</v>
      </c>
      <c r="K45" s="1">
        <v>3</v>
      </c>
      <c r="L45" s="1">
        <v>8</v>
      </c>
      <c r="M45" s="1">
        <v>20</v>
      </c>
      <c r="N45" s="1">
        <v>20</v>
      </c>
    </row>
    <row r="46" spans="1:14" x14ac:dyDescent="0.35">
      <c r="A46" s="1" t="s">
        <v>301</v>
      </c>
      <c r="B46" s="1" t="s">
        <v>191</v>
      </c>
      <c r="C46" s="1" t="s">
        <v>302</v>
      </c>
      <c r="D46" s="1" t="s">
        <v>113</v>
      </c>
      <c r="E46" s="1" t="s">
        <v>73</v>
      </c>
      <c r="F46" s="1" t="s">
        <v>73</v>
      </c>
      <c r="G46" s="1" t="s">
        <v>113</v>
      </c>
      <c r="H46" s="1" t="s">
        <v>119</v>
      </c>
      <c r="I46" s="1">
        <v>184</v>
      </c>
      <c r="J46" s="1">
        <v>183</v>
      </c>
      <c r="K46" s="1">
        <v>7</v>
      </c>
      <c r="L46" s="1">
        <v>9</v>
      </c>
      <c r="M46" s="1">
        <v>20</v>
      </c>
      <c r="N46" s="1">
        <v>20</v>
      </c>
    </row>
    <row r="47" spans="1:14" x14ac:dyDescent="0.35">
      <c r="A47" s="1" t="s">
        <v>303</v>
      </c>
      <c r="B47" s="1" t="s">
        <v>180</v>
      </c>
      <c r="C47" s="1" t="s">
        <v>304</v>
      </c>
      <c r="D47" s="1" t="s">
        <v>36</v>
      </c>
      <c r="E47" s="1" t="s">
        <v>86</v>
      </c>
      <c r="F47" s="1" t="s">
        <v>86</v>
      </c>
      <c r="G47" s="1" t="s">
        <v>36</v>
      </c>
      <c r="H47" s="1" t="s">
        <v>34</v>
      </c>
      <c r="I47" s="1">
        <v>192</v>
      </c>
      <c r="J47" s="1">
        <v>174</v>
      </c>
      <c r="K47" s="1">
        <v>4</v>
      </c>
      <c r="L47" s="1">
        <v>8</v>
      </c>
      <c r="M47" s="1">
        <v>20</v>
      </c>
      <c r="N47" s="1">
        <v>20</v>
      </c>
    </row>
    <row r="48" spans="1:14" x14ac:dyDescent="0.35">
      <c r="A48" s="1" t="s">
        <v>305</v>
      </c>
      <c r="B48" s="1" t="s">
        <v>190</v>
      </c>
      <c r="C48" s="1" t="s">
        <v>306</v>
      </c>
      <c r="D48" s="1" t="s">
        <v>100</v>
      </c>
      <c r="E48" s="1" t="s">
        <v>61</v>
      </c>
      <c r="F48" s="1" t="s">
        <v>100</v>
      </c>
      <c r="G48" s="1" t="s">
        <v>61</v>
      </c>
      <c r="H48" s="1" t="s">
        <v>63</v>
      </c>
      <c r="I48" s="1">
        <v>208</v>
      </c>
      <c r="J48" s="1">
        <v>198</v>
      </c>
      <c r="K48" s="1">
        <v>6</v>
      </c>
      <c r="L48" s="1">
        <v>7</v>
      </c>
      <c r="M48" s="1">
        <v>20</v>
      </c>
      <c r="N48" s="1">
        <v>20</v>
      </c>
    </row>
    <row r="49" spans="1:14" x14ac:dyDescent="0.35">
      <c r="A49" s="1" t="s">
        <v>307</v>
      </c>
      <c r="B49" s="1" t="s">
        <v>182</v>
      </c>
      <c r="C49" s="1" t="s">
        <v>308</v>
      </c>
      <c r="D49" s="1" t="s">
        <v>49</v>
      </c>
      <c r="E49" s="1" t="s">
        <v>10</v>
      </c>
      <c r="F49" s="1" t="s">
        <v>10</v>
      </c>
      <c r="G49" s="1" t="s">
        <v>86</v>
      </c>
      <c r="H49" s="1" t="s">
        <v>84</v>
      </c>
      <c r="I49" s="1">
        <v>193</v>
      </c>
      <c r="J49" s="1">
        <v>165</v>
      </c>
      <c r="K49" s="1">
        <v>5</v>
      </c>
      <c r="L49" s="1">
        <v>10</v>
      </c>
      <c r="M49" s="1">
        <v>20</v>
      </c>
      <c r="N49" s="1">
        <v>17.2</v>
      </c>
    </row>
    <row r="50" spans="1:14" x14ac:dyDescent="0.35">
      <c r="A50" s="1" t="s">
        <v>309</v>
      </c>
      <c r="B50" s="1" t="s">
        <v>186</v>
      </c>
      <c r="C50" s="1" t="s">
        <v>310</v>
      </c>
      <c r="D50" s="1" t="s">
        <v>73</v>
      </c>
      <c r="E50" s="1" t="s">
        <v>49</v>
      </c>
      <c r="F50" s="1" t="s">
        <v>49</v>
      </c>
      <c r="G50" s="1" t="s">
        <v>86</v>
      </c>
      <c r="H50" s="1" t="s">
        <v>95</v>
      </c>
      <c r="I50" s="1">
        <v>181</v>
      </c>
      <c r="J50" s="1">
        <v>185</v>
      </c>
      <c r="K50" s="1">
        <v>5</v>
      </c>
      <c r="L50" s="1">
        <v>4</v>
      </c>
      <c r="M50" s="1">
        <v>20</v>
      </c>
      <c r="N50" s="1">
        <v>19.3</v>
      </c>
    </row>
    <row r="51" spans="1:14" x14ac:dyDescent="0.35">
      <c r="A51" s="1" t="s">
        <v>311</v>
      </c>
      <c r="B51" s="1" t="s">
        <v>188</v>
      </c>
      <c r="C51" s="1" t="s">
        <v>312</v>
      </c>
      <c r="D51" s="1" t="s">
        <v>86</v>
      </c>
      <c r="E51" s="1" t="s">
        <v>36</v>
      </c>
      <c r="F51" s="1" t="s">
        <v>73</v>
      </c>
      <c r="G51" s="1" t="s">
        <v>61</v>
      </c>
      <c r="H51" s="1" t="s">
        <v>66</v>
      </c>
      <c r="I51" s="1">
        <v>164</v>
      </c>
      <c r="J51" s="1">
        <v>165</v>
      </c>
      <c r="K51" s="1">
        <v>8</v>
      </c>
      <c r="L51" s="1">
        <v>3</v>
      </c>
      <c r="M51" s="1">
        <v>20</v>
      </c>
      <c r="N51" s="1">
        <v>18.399999999999999</v>
      </c>
    </row>
    <row r="52" spans="1:14" x14ac:dyDescent="0.35">
      <c r="A52" s="1" t="s">
        <v>313</v>
      </c>
      <c r="B52" s="1" t="s">
        <v>178</v>
      </c>
      <c r="C52" s="1" t="s">
        <v>314</v>
      </c>
      <c r="D52" s="1" t="s">
        <v>10</v>
      </c>
      <c r="E52" s="1" t="s">
        <v>36</v>
      </c>
      <c r="F52" s="1" t="s">
        <v>100</v>
      </c>
      <c r="G52" s="1" t="s">
        <v>36</v>
      </c>
      <c r="H52" s="1" t="s">
        <v>37</v>
      </c>
      <c r="I52" s="1">
        <v>178</v>
      </c>
      <c r="J52" s="1">
        <v>169</v>
      </c>
      <c r="K52" s="1">
        <v>6</v>
      </c>
      <c r="L52" s="1">
        <v>9</v>
      </c>
      <c r="M52" s="1">
        <v>20</v>
      </c>
      <c r="N52" s="1">
        <v>20</v>
      </c>
    </row>
    <row r="53" spans="1:14" x14ac:dyDescent="0.35">
      <c r="A53" s="1" t="s">
        <v>315</v>
      </c>
      <c r="B53" s="1" t="s">
        <v>184</v>
      </c>
      <c r="C53" s="1" t="s">
        <v>316</v>
      </c>
      <c r="D53" s="1" t="s">
        <v>61</v>
      </c>
      <c r="E53" s="1" t="s">
        <v>113</v>
      </c>
      <c r="F53" s="1" t="s">
        <v>10</v>
      </c>
      <c r="G53" s="1" t="s">
        <v>113</v>
      </c>
      <c r="H53" s="1" t="s">
        <v>117</v>
      </c>
      <c r="I53" s="1">
        <v>154</v>
      </c>
      <c r="J53" s="1">
        <v>155</v>
      </c>
      <c r="K53" s="1">
        <v>10</v>
      </c>
      <c r="L53" s="1">
        <v>3</v>
      </c>
      <c r="M53" s="1">
        <v>20</v>
      </c>
      <c r="N53" s="1">
        <v>17</v>
      </c>
    </row>
    <row r="54" spans="1:14" x14ac:dyDescent="0.35">
      <c r="A54" s="1" t="s">
        <v>317</v>
      </c>
      <c r="B54" s="1" t="s">
        <v>191</v>
      </c>
      <c r="C54" s="1" t="s">
        <v>318</v>
      </c>
      <c r="D54" s="1" t="s">
        <v>113</v>
      </c>
      <c r="E54" s="1" t="s">
        <v>49</v>
      </c>
      <c r="F54" s="1" t="s">
        <v>49</v>
      </c>
      <c r="G54" s="1" t="s">
        <v>61</v>
      </c>
      <c r="H54" s="1" t="s">
        <v>68</v>
      </c>
      <c r="I54" s="1">
        <v>171</v>
      </c>
      <c r="J54" s="1">
        <v>156</v>
      </c>
      <c r="K54" s="1">
        <v>5</v>
      </c>
      <c r="L54" s="1">
        <v>9</v>
      </c>
      <c r="M54" s="1">
        <v>20</v>
      </c>
      <c r="N54" s="1">
        <v>18.3</v>
      </c>
    </row>
    <row r="55" spans="1:14" x14ac:dyDescent="0.35">
      <c r="A55" s="1" t="s">
        <v>319</v>
      </c>
      <c r="B55" s="1" t="s">
        <v>190</v>
      </c>
      <c r="C55" s="1" t="s">
        <v>320</v>
      </c>
      <c r="D55" s="1" t="s">
        <v>100</v>
      </c>
      <c r="E55" s="1" t="s">
        <v>73</v>
      </c>
      <c r="F55" s="1" t="s">
        <v>73</v>
      </c>
      <c r="G55" s="1" t="s">
        <v>73</v>
      </c>
      <c r="H55" s="1" t="s">
        <v>75</v>
      </c>
      <c r="I55" s="1">
        <v>149</v>
      </c>
      <c r="J55" s="1">
        <v>150</v>
      </c>
      <c r="K55" s="1">
        <v>9</v>
      </c>
      <c r="L55" s="1">
        <v>4</v>
      </c>
      <c r="M55" s="1">
        <v>20</v>
      </c>
      <c r="N55" s="1">
        <v>18.100000000000001</v>
      </c>
    </row>
    <row r="56" spans="1:14" x14ac:dyDescent="0.35">
      <c r="A56" s="1" t="s">
        <v>321</v>
      </c>
      <c r="B56" s="1" t="s">
        <v>182</v>
      </c>
      <c r="C56" s="1" t="s">
        <v>322</v>
      </c>
      <c r="D56" s="1" t="s">
        <v>49</v>
      </c>
      <c r="E56" s="1" t="s">
        <v>86</v>
      </c>
      <c r="F56" s="1" t="s">
        <v>10</v>
      </c>
      <c r="G56" s="1" t="s">
        <v>100</v>
      </c>
      <c r="H56" s="1" t="s">
        <v>98</v>
      </c>
      <c r="I56" s="1">
        <v>177</v>
      </c>
      <c r="J56" s="1">
        <v>152</v>
      </c>
      <c r="K56" s="1">
        <v>7</v>
      </c>
      <c r="L56" s="1">
        <v>8</v>
      </c>
      <c r="M56" s="1">
        <v>20</v>
      </c>
      <c r="N56" s="1">
        <v>18.399999999999999</v>
      </c>
    </row>
    <row r="57" spans="1:14" x14ac:dyDescent="0.35">
      <c r="A57" s="1" t="s">
        <v>323</v>
      </c>
      <c r="B57" s="1" t="s">
        <v>178</v>
      </c>
      <c r="C57" s="1" t="s">
        <v>324</v>
      </c>
      <c r="D57" s="1" t="s">
        <v>10</v>
      </c>
      <c r="E57" s="1" t="s">
        <v>61</v>
      </c>
      <c r="F57" s="1" t="s">
        <v>36</v>
      </c>
      <c r="G57" s="1" t="s">
        <v>36</v>
      </c>
      <c r="H57" s="1" t="s">
        <v>41</v>
      </c>
      <c r="I57" s="1">
        <v>161</v>
      </c>
      <c r="J57" s="1">
        <v>162</v>
      </c>
      <c r="K57" s="1">
        <v>8</v>
      </c>
      <c r="L57" s="1">
        <v>6</v>
      </c>
      <c r="M57" s="1">
        <v>20</v>
      </c>
      <c r="N57" s="1">
        <v>19.2</v>
      </c>
    </row>
    <row r="58" spans="1:14" x14ac:dyDescent="0.35">
      <c r="A58" s="1" t="s">
        <v>325</v>
      </c>
      <c r="B58" s="1" t="s">
        <v>180</v>
      </c>
      <c r="C58" s="1" t="s">
        <v>326</v>
      </c>
      <c r="D58" s="1" t="s">
        <v>36</v>
      </c>
      <c r="E58" s="1" t="s">
        <v>113</v>
      </c>
      <c r="F58" s="1" t="s">
        <v>73</v>
      </c>
      <c r="G58" s="1" t="s">
        <v>49</v>
      </c>
      <c r="H58" s="1" t="s">
        <v>47</v>
      </c>
      <c r="I58" s="1">
        <v>198</v>
      </c>
      <c r="J58" s="1">
        <v>187</v>
      </c>
      <c r="K58" s="1">
        <v>3</v>
      </c>
      <c r="L58" s="1">
        <v>8</v>
      </c>
      <c r="M58" s="1">
        <v>20</v>
      </c>
      <c r="N58" s="1">
        <v>20</v>
      </c>
    </row>
    <row r="59" spans="1:14" x14ac:dyDescent="0.35">
      <c r="A59" s="1" t="s">
        <v>327</v>
      </c>
      <c r="B59" s="1" t="s">
        <v>186</v>
      </c>
      <c r="C59" s="1" t="s">
        <v>328</v>
      </c>
      <c r="D59" s="1" t="s">
        <v>73</v>
      </c>
      <c r="E59" s="1" t="s">
        <v>86</v>
      </c>
      <c r="F59" s="1" t="s">
        <v>86</v>
      </c>
      <c r="G59" s="1" t="s">
        <v>10</v>
      </c>
      <c r="H59" s="1" t="s">
        <v>8</v>
      </c>
      <c r="I59" s="1">
        <v>188</v>
      </c>
      <c r="J59" s="1">
        <v>186</v>
      </c>
      <c r="K59" s="1">
        <v>6</v>
      </c>
      <c r="L59" s="1">
        <v>8</v>
      </c>
      <c r="M59" s="1">
        <v>20</v>
      </c>
      <c r="N59" s="1">
        <v>20</v>
      </c>
    </row>
    <row r="60" spans="1:14" x14ac:dyDescent="0.35">
      <c r="A60" s="1" t="s">
        <v>329</v>
      </c>
      <c r="B60" s="1" t="s">
        <v>184</v>
      </c>
      <c r="C60" s="1" t="s">
        <v>330</v>
      </c>
      <c r="D60" s="1" t="s">
        <v>61</v>
      </c>
      <c r="E60" s="1" t="s">
        <v>100</v>
      </c>
      <c r="F60" s="1" t="s">
        <v>113</v>
      </c>
      <c r="G60" s="1" t="s">
        <v>113</v>
      </c>
      <c r="H60" s="1" t="s">
        <v>111</v>
      </c>
      <c r="I60" s="1">
        <v>169</v>
      </c>
      <c r="J60" s="1">
        <v>170</v>
      </c>
      <c r="K60" s="1">
        <v>8</v>
      </c>
      <c r="L60" s="1">
        <v>4</v>
      </c>
      <c r="M60" s="1">
        <v>20</v>
      </c>
      <c r="N60" s="1">
        <v>19.100000000000001</v>
      </c>
    </row>
    <row r="61" spans="1:14" x14ac:dyDescent="0.35">
      <c r="A61" s="1" t="s">
        <v>331</v>
      </c>
      <c r="B61" s="1" t="s">
        <v>188</v>
      </c>
      <c r="C61" s="1" t="s">
        <v>332</v>
      </c>
      <c r="D61" s="1" t="s">
        <v>86</v>
      </c>
      <c r="E61" s="1" t="s">
        <v>10</v>
      </c>
      <c r="F61" s="1" t="s">
        <v>73</v>
      </c>
      <c r="G61" s="1" t="s">
        <v>100</v>
      </c>
      <c r="H61" s="1" t="s">
        <v>101</v>
      </c>
      <c r="I61" s="1">
        <v>155</v>
      </c>
      <c r="J61" s="1">
        <v>156</v>
      </c>
      <c r="K61" s="1">
        <v>10</v>
      </c>
      <c r="L61" s="1">
        <v>6</v>
      </c>
      <c r="M61" s="1">
        <v>20</v>
      </c>
      <c r="N61" s="1">
        <v>19.399999999999999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D0F5-BF13-4222-AFF3-71B29986E0F0}">
  <dimension ref="A1:D11"/>
  <sheetViews>
    <sheetView workbookViewId="0"/>
  </sheetViews>
  <sheetFormatPr defaultRowHeight="14.5" x14ac:dyDescent="0.35"/>
  <cols>
    <col min="1" max="1" width="11.26953125" bestFit="1" customWidth="1"/>
    <col min="2" max="2" width="52" bestFit="1" customWidth="1"/>
    <col min="3" max="3" width="11" bestFit="1" customWidth="1"/>
    <col min="4" max="4" width="10.1796875" bestFit="1" customWidth="1"/>
  </cols>
  <sheetData>
    <row r="1" spans="1:4" x14ac:dyDescent="0.35">
      <c r="A1" t="s">
        <v>175</v>
      </c>
      <c r="B1" t="s">
        <v>176</v>
      </c>
      <c r="C1" t="s">
        <v>125</v>
      </c>
      <c r="D1" t="s">
        <v>177</v>
      </c>
    </row>
    <row r="2" spans="1:4" x14ac:dyDescent="0.35">
      <c r="A2" s="1" t="s">
        <v>178</v>
      </c>
      <c r="B2" s="1" t="s">
        <v>130</v>
      </c>
      <c r="C2" s="1" t="s">
        <v>131</v>
      </c>
      <c r="D2" s="1" t="s">
        <v>179</v>
      </c>
    </row>
    <row r="3" spans="1:4" x14ac:dyDescent="0.35">
      <c r="A3" s="1" t="s">
        <v>180</v>
      </c>
      <c r="B3" s="1" t="s">
        <v>136</v>
      </c>
      <c r="C3" s="1" t="s">
        <v>137</v>
      </c>
      <c r="D3" s="1" t="s">
        <v>181</v>
      </c>
    </row>
    <row r="4" spans="1:4" x14ac:dyDescent="0.35">
      <c r="A4" s="1" t="s">
        <v>182</v>
      </c>
      <c r="B4" s="1" t="s">
        <v>142</v>
      </c>
      <c r="C4" s="1" t="s">
        <v>143</v>
      </c>
      <c r="D4" s="1" t="s">
        <v>183</v>
      </c>
    </row>
    <row r="5" spans="1:4" x14ac:dyDescent="0.35">
      <c r="A5" s="1" t="s">
        <v>184</v>
      </c>
      <c r="B5" s="1" t="s">
        <v>148</v>
      </c>
      <c r="C5" s="1" t="s">
        <v>149</v>
      </c>
      <c r="D5" s="1" t="s">
        <v>185</v>
      </c>
    </row>
    <row r="6" spans="1:4" x14ac:dyDescent="0.35">
      <c r="A6" s="1" t="s">
        <v>186</v>
      </c>
      <c r="B6" s="1" t="s">
        <v>154</v>
      </c>
      <c r="C6" s="1" t="s">
        <v>155</v>
      </c>
      <c r="D6" s="1" t="s">
        <v>187</v>
      </c>
    </row>
    <row r="7" spans="1:4" x14ac:dyDescent="0.35">
      <c r="A7" s="1" t="s">
        <v>188</v>
      </c>
      <c r="B7" s="1" t="s">
        <v>160</v>
      </c>
      <c r="C7" s="1" t="s">
        <v>161</v>
      </c>
      <c r="D7" s="1" t="s">
        <v>189</v>
      </c>
    </row>
    <row r="8" spans="1:4" x14ac:dyDescent="0.35">
      <c r="A8" s="1" t="s">
        <v>190</v>
      </c>
      <c r="B8" s="1" t="s">
        <v>166</v>
      </c>
      <c r="C8" s="1" t="s">
        <v>167</v>
      </c>
      <c r="D8" s="1" t="s">
        <v>181</v>
      </c>
    </row>
    <row r="9" spans="1:4" x14ac:dyDescent="0.35">
      <c r="A9" s="1" t="s">
        <v>191</v>
      </c>
      <c r="B9" s="1" t="s">
        <v>172</v>
      </c>
      <c r="C9" s="1" t="s">
        <v>173</v>
      </c>
      <c r="D9" s="1" t="s">
        <v>192</v>
      </c>
    </row>
    <row r="10" spans="1:4" x14ac:dyDescent="0.35">
      <c r="A10" s="1" t="s">
        <v>193</v>
      </c>
      <c r="B10" s="1" t="s">
        <v>194</v>
      </c>
      <c r="C10" s="1" t="s">
        <v>195</v>
      </c>
      <c r="D10" s="1" t="s">
        <v>196</v>
      </c>
    </row>
    <row r="11" spans="1:4" x14ac:dyDescent="0.35">
      <c r="A11" s="1" t="s">
        <v>197</v>
      </c>
      <c r="B11" s="1" t="s">
        <v>198</v>
      </c>
      <c r="C11" s="1" t="s">
        <v>199</v>
      </c>
      <c r="D11" s="1" t="s">
        <v>200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C5971-4F24-43C2-88BB-55DCB60CFD86}">
  <dimension ref="A1:G9"/>
  <sheetViews>
    <sheetView workbookViewId="0">
      <selection sqref="A1:G10"/>
    </sheetView>
  </sheetViews>
  <sheetFormatPr defaultRowHeight="14.5" x14ac:dyDescent="0.35"/>
  <cols>
    <col min="1" max="1" width="10.54296875" bestFit="1" customWidth="1"/>
    <col min="2" max="2" width="29.81640625" bestFit="1" customWidth="1"/>
    <col min="3" max="3" width="14.6328125" bestFit="1" customWidth="1"/>
    <col min="4" max="4" width="17.453125" bestFit="1" customWidth="1"/>
    <col min="5" max="5" width="40.81640625" bestFit="1" customWidth="1"/>
    <col min="6" max="6" width="10" bestFit="1" customWidth="1"/>
    <col min="7" max="7" width="16.54296875" bestFit="1" customWidth="1"/>
    <col min="8" max="8" width="10.54296875" bestFit="1" customWidth="1"/>
    <col min="9" max="9" width="29.81640625" bestFit="1" customWidth="1"/>
    <col min="10" max="10" width="14.6328125" bestFit="1" customWidth="1"/>
    <col min="11" max="11" width="17.453125" bestFit="1" customWidth="1"/>
    <col min="12" max="12" width="40.81640625" bestFit="1" customWidth="1"/>
    <col min="13" max="13" width="10.54296875" bestFit="1" customWidth="1"/>
    <col min="14" max="14" width="16.54296875" bestFit="1" customWidth="1"/>
  </cols>
  <sheetData>
    <row r="1" spans="1:7" x14ac:dyDescent="0.35">
      <c r="A1" t="s">
        <v>2</v>
      </c>
      <c r="B1" t="s">
        <v>121</v>
      </c>
      <c r="C1" t="s">
        <v>122</v>
      </c>
      <c r="D1" t="s">
        <v>123</v>
      </c>
      <c r="E1" t="s">
        <v>124</v>
      </c>
      <c r="F1" t="s">
        <v>125</v>
      </c>
      <c r="G1" t="s">
        <v>126</v>
      </c>
    </row>
    <row r="2" spans="1:7" x14ac:dyDescent="0.35">
      <c r="A2" s="1" t="s">
        <v>10</v>
      </c>
      <c r="B2" s="1" t="s">
        <v>127</v>
      </c>
      <c r="C2" s="1" t="s">
        <v>128</v>
      </c>
      <c r="D2" s="1" t="s">
        <v>129</v>
      </c>
      <c r="E2" s="1" t="s">
        <v>130</v>
      </c>
      <c r="F2" s="1" t="s">
        <v>131</v>
      </c>
      <c r="G2" s="1" t="s">
        <v>132</v>
      </c>
    </row>
    <row r="3" spans="1:7" x14ac:dyDescent="0.35">
      <c r="A3" s="1" t="s">
        <v>36</v>
      </c>
      <c r="B3" s="1" t="s">
        <v>133</v>
      </c>
      <c r="C3" s="1" t="s">
        <v>134</v>
      </c>
      <c r="D3" s="1" t="s">
        <v>135</v>
      </c>
      <c r="E3" s="1" t="s">
        <v>136</v>
      </c>
      <c r="F3" s="1" t="s">
        <v>137</v>
      </c>
      <c r="G3" s="1" t="s">
        <v>138</v>
      </c>
    </row>
    <row r="4" spans="1:7" x14ac:dyDescent="0.35">
      <c r="A4" s="1" t="s">
        <v>49</v>
      </c>
      <c r="B4" s="1" t="s">
        <v>139</v>
      </c>
      <c r="C4" s="1" t="s">
        <v>140</v>
      </c>
      <c r="D4" s="1" t="s">
        <v>141</v>
      </c>
      <c r="E4" s="1" t="s">
        <v>142</v>
      </c>
      <c r="F4" s="1" t="s">
        <v>143</v>
      </c>
      <c r="G4" s="1" t="s">
        <v>144</v>
      </c>
    </row>
    <row r="5" spans="1:7" x14ac:dyDescent="0.35">
      <c r="A5" s="1" t="s">
        <v>61</v>
      </c>
      <c r="B5" s="1" t="s">
        <v>145</v>
      </c>
      <c r="C5" s="1" t="s">
        <v>146</v>
      </c>
      <c r="D5" s="1" t="s">
        <v>147</v>
      </c>
      <c r="E5" s="1" t="s">
        <v>148</v>
      </c>
      <c r="F5" s="1" t="s">
        <v>149</v>
      </c>
      <c r="G5" s="1" t="s">
        <v>150</v>
      </c>
    </row>
    <row r="6" spans="1:7" x14ac:dyDescent="0.35">
      <c r="A6" s="1" t="s">
        <v>73</v>
      </c>
      <c r="B6" s="1" t="s">
        <v>151</v>
      </c>
      <c r="C6" s="1" t="s">
        <v>152</v>
      </c>
      <c r="D6" s="1" t="s">
        <v>153</v>
      </c>
      <c r="E6" s="1" t="s">
        <v>154</v>
      </c>
      <c r="F6" s="1" t="s">
        <v>155</v>
      </c>
      <c r="G6" s="1" t="s">
        <v>156</v>
      </c>
    </row>
    <row r="7" spans="1:7" x14ac:dyDescent="0.35">
      <c r="A7" s="1" t="s">
        <v>86</v>
      </c>
      <c r="B7" s="1" t="s">
        <v>157</v>
      </c>
      <c r="C7" s="1" t="s">
        <v>158</v>
      </c>
      <c r="D7" s="1" t="s">
        <v>159</v>
      </c>
      <c r="E7" s="1" t="s">
        <v>160</v>
      </c>
      <c r="F7" s="1" t="s">
        <v>161</v>
      </c>
      <c r="G7" s="1" t="s">
        <v>162</v>
      </c>
    </row>
    <row r="8" spans="1:7" x14ac:dyDescent="0.35">
      <c r="A8" s="1" t="s">
        <v>100</v>
      </c>
      <c r="B8" s="1" t="s">
        <v>163</v>
      </c>
      <c r="C8" s="1" t="s">
        <v>164</v>
      </c>
      <c r="D8" s="1" t="s">
        <v>165</v>
      </c>
      <c r="E8" s="1" t="s">
        <v>166</v>
      </c>
      <c r="F8" s="1" t="s">
        <v>167</v>
      </c>
      <c r="G8" s="1" t="s">
        <v>168</v>
      </c>
    </row>
    <row r="9" spans="1:7" x14ac:dyDescent="0.35">
      <c r="A9" s="1" t="s">
        <v>113</v>
      </c>
      <c r="B9" s="1" t="s">
        <v>169</v>
      </c>
      <c r="C9" s="1" t="s">
        <v>170</v>
      </c>
      <c r="D9" s="1" t="s">
        <v>171</v>
      </c>
      <c r="E9" s="1" t="s">
        <v>172</v>
      </c>
      <c r="F9" s="1" t="s">
        <v>173</v>
      </c>
      <c r="G9" s="1" t="s">
        <v>174</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4F1FB-E72C-4E51-99C9-67DB6B853D09}">
  <dimension ref="A1:H34"/>
  <sheetViews>
    <sheetView topLeftCell="A4" workbookViewId="0">
      <selection sqref="A1:H34"/>
    </sheetView>
  </sheetViews>
  <sheetFormatPr defaultRowHeight="14.5" x14ac:dyDescent="0.35"/>
  <cols>
    <col min="1" max="1" width="11.08984375" bestFit="1" customWidth="1"/>
    <col min="2" max="2" width="18.81640625" bestFit="1" customWidth="1"/>
    <col min="3" max="3" width="10.54296875" bestFit="1" customWidth="1"/>
    <col min="4" max="4" width="12.1796875" bestFit="1" customWidth="1"/>
    <col min="5" max="5" width="13.36328125" bestFit="1" customWidth="1"/>
    <col min="6" max="6" width="6.1796875" bestFit="1" customWidth="1"/>
    <col min="7" max="7" width="14.08984375" bestFit="1" customWidth="1"/>
    <col min="8" max="8" width="20.6328125" bestFit="1" customWidth="1"/>
  </cols>
  <sheetData>
    <row r="1" spans="1:8" x14ac:dyDescent="0.35">
      <c r="A1" t="s">
        <v>0</v>
      </c>
      <c r="B1" t="s">
        <v>1</v>
      </c>
      <c r="C1" t="s">
        <v>2</v>
      </c>
      <c r="D1" t="s">
        <v>3</v>
      </c>
      <c r="E1" t="s">
        <v>4</v>
      </c>
      <c r="F1" t="s">
        <v>5</v>
      </c>
      <c r="G1" t="s">
        <v>6</v>
      </c>
      <c r="H1" t="s">
        <v>7</v>
      </c>
    </row>
    <row r="2" spans="1:8" x14ac:dyDescent="0.35">
      <c r="A2" s="1" t="s">
        <v>8</v>
      </c>
      <c r="B2" s="1" t="s">
        <v>9</v>
      </c>
      <c r="C2" s="1" t="s">
        <v>10</v>
      </c>
      <c r="D2" s="1" t="s">
        <v>11</v>
      </c>
      <c r="E2" s="1" t="s">
        <v>12</v>
      </c>
      <c r="F2" s="1" t="s">
        <v>13</v>
      </c>
      <c r="G2" s="1" t="s">
        <v>14</v>
      </c>
      <c r="H2" s="1" t="s">
        <v>15</v>
      </c>
    </row>
    <row r="3" spans="1:8" x14ac:dyDescent="0.35">
      <c r="A3" s="1" t="s">
        <v>16</v>
      </c>
      <c r="B3" s="1" t="s">
        <v>17</v>
      </c>
      <c r="C3" s="1" t="s">
        <v>10</v>
      </c>
      <c r="D3" s="1" t="s">
        <v>18</v>
      </c>
      <c r="E3" s="1" t="s">
        <v>12</v>
      </c>
      <c r="F3" s="1" t="s">
        <v>19</v>
      </c>
      <c r="G3" s="1" t="s">
        <v>14</v>
      </c>
      <c r="H3" s="1" t="s">
        <v>20</v>
      </c>
    </row>
    <row r="4" spans="1:8" x14ac:dyDescent="0.35">
      <c r="A4" s="1" t="s">
        <v>21</v>
      </c>
      <c r="B4" s="1" t="s">
        <v>22</v>
      </c>
      <c r="C4" s="1" t="s">
        <v>10</v>
      </c>
      <c r="D4" s="1" t="s">
        <v>23</v>
      </c>
      <c r="E4" s="1" t="s">
        <v>12</v>
      </c>
      <c r="F4" s="1" t="s">
        <v>24</v>
      </c>
      <c r="G4" s="1" t="s">
        <v>25</v>
      </c>
      <c r="H4" s="1" t="s">
        <v>26</v>
      </c>
    </row>
    <row r="5" spans="1:8" x14ac:dyDescent="0.35">
      <c r="A5" s="1" t="s">
        <v>27</v>
      </c>
      <c r="B5" s="1" t="s">
        <v>28</v>
      </c>
      <c r="C5" s="1" t="s">
        <v>10</v>
      </c>
      <c r="D5" s="1" t="s">
        <v>29</v>
      </c>
      <c r="E5" s="1" t="s">
        <v>12</v>
      </c>
      <c r="F5" s="1" t="s">
        <v>30</v>
      </c>
      <c r="G5" s="1" t="s">
        <v>25</v>
      </c>
      <c r="H5" s="1" t="s">
        <v>15</v>
      </c>
    </row>
    <row r="6" spans="1:8" x14ac:dyDescent="0.35">
      <c r="A6" s="1" t="s">
        <v>31</v>
      </c>
      <c r="B6" s="1" t="s">
        <v>32</v>
      </c>
      <c r="C6" s="1" t="s">
        <v>10</v>
      </c>
      <c r="D6" s="1" t="s">
        <v>29</v>
      </c>
      <c r="E6" s="1" t="s">
        <v>12</v>
      </c>
      <c r="F6" s="1" t="s">
        <v>19</v>
      </c>
      <c r="G6" s="1" t="s">
        <v>14</v>
      </c>
      <c r="H6" s="1" t="s">
        <v>33</v>
      </c>
    </row>
    <row r="7" spans="1:8" x14ac:dyDescent="0.35">
      <c r="A7" s="1" t="s">
        <v>34</v>
      </c>
      <c r="B7" s="1" t="s">
        <v>35</v>
      </c>
      <c r="C7" s="1" t="s">
        <v>36</v>
      </c>
      <c r="D7" s="1" t="s">
        <v>29</v>
      </c>
      <c r="E7" s="1" t="s">
        <v>12</v>
      </c>
      <c r="F7" s="1" t="s">
        <v>19</v>
      </c>
      <c r="G7" s="1" t="s">
        <v>25</v>
      </c>
      <c r="H7" s="1" t="s">
        <v>33</v>
      </c>
    </row>
    <row r="8" spans="1:8" x14ac:dyDescent="0.35">
      <c r="A8" s="1" t="s">
        <v>37</v>
      </c>
      <c r="B8" s="1" t="s">
        <v>38</v>
      </c>
      <c r="C8" s="1" t="s">
        <v>36</v>
      </c>
      <c r="D8" s="1" t="s">
        <v>18</v>
      </c>
      <c r="E8" s="1" t="s">
        <v>12</v>
      </c>
      <c r="F8" s="1" t="s">
        <v>39</v>
      </c>
      <c r="G8" s="1" t="s">
        <v>14</v>
      </c>
      <c r="H8" s="1" t="s">
        <v>40</v>
      </c>
    </row>
    <row r="9" spans="1:8" x14ac:dyDescent="0.35">
      <c r="A9" s="1" t="s">
        <v>41</v>
      </c>
      <c r="B9" s="1" t="s">
        <v>42</v>
      </c>
      <c r="C9" s="1" t="s">
        <v>36</v>
      </c>
      <c r="D9" s="1" t="s">
        <v>29</v>
      </c>
      <c r="E9" s="1" t="s">
        <v>43</v>
      </c>
      <c r="F9" s="1" t="s">
        <v>13</v>
      </c>
      <c r="G9" s="1" t="s">
        <v>14</v>
      </c>
      <c r="H9" s="1" t="s">
        <v>33</v>
      </c>
    </row>
    <row r="10" spans="1:8" x14ac:dyDescent="0.35">
      <c r="A10" s="1" t="s">
        <v>44</v>
      </c>
      <c r="B10" s="1" t="s">
        <v>45</v>
      </c>
      <c r="C10" s="1" t="s">
        <v>36</v>
      </c>
      <c r="D10" s="1" t="s">
        <v>18</v>
      </c>
      <c r="E10" s="1" t="s">
        <v>46</v>
      </c>
      <c r="F10" s="1" t="s">
        <v>30</v>
      </c>
      <c r="G10" s="1" t="s">
        <v>14</v>
      </c>
      <c r="H10" s="1" t="s">
        <v>20</v>
      </c>
    </row>
    <row r="11" spans="1:8" x14ac:dyDescent="0.35">
      <c r="A11" s="1" t="s">
        <v>47</v>
      </c>
      <c r="B11" s="1" t="s">
        <v>48</v>
      </c>
      <c r="C11" s="1" t="s">
        <v>49</v>
      </c>
      <c r="D11" s="1" t="s">
        <v>11</v>
      </c>
      <c r="E11" s="1" t="s">
        <v>12</v>
      </c>
      <c r="F11" s="1" t="s">
        <v>50</v>
      </c>
      <c r="G11" s="1" t="s">
        <v>14</v>
      </c>
      <c r="H11" s="1" t="s">
        <v>33</v>
      </c>
    </row>
    <row r="12" spans="1:8" x14ac:dyDescent="0.35">
      <c r="A12" s="1" t="s">
        <v>51</v>
      </c>
      <c r="B12" s="1" t="s">
        <v>52</v>
      </c>
      <c r="C12" s="1" t="s">
        <v>49</v>
      </c>
      <c r="D12" s="1" t="s">
        <v>18</v>
      </c>
      <c r="E12" s="1" t="s">
        <v>12</v>
      </c>
      <c r="F12" s="1" t="s">
        <v>19</v>
      </c>
      <c r="G12" s="1" t="s">
        <v>14</v>
      </c>
      <c r="H12" s="1" t="s">
        <v>20</v>
      </c>
    </row>
    <row r="13" spans="1:8" x14ac:dyDescent="0.35">
      <c r="A13" s="1" t="s">
        <v>53</v>
      </c>
      <c r="B13" s="1" t="s">
        <v>54</v>
      </c>
      <c r="C13" s="1" t="s">
        <v>49</v>
      </c>
      <c r="D13" s="1" t="s">
        <v>29</v>
      </c>
      <c r="E13" s="1" t="s">
        <v>55</v>
      </c>
      <c r="F13" s="1" t="s">
        <v>50</v>
      </c>
      <c r="G13" s="1" t="s">
        <v>14</v>
      </c>
      <c r="H13" s="1" t="s">
        <v>15</v>
      </c>
    </row>
    <row r="14" spans="1:8" x14ac:dyDescent="0.35">
      <c r="A14" s="1" t="s">
        <v>56</v>
      </c>
      <c r="B14" s="1" t="s">
        <v>57</v>
      </c>
      <c r="C14" s="1" t="s">
        <v>49</v>
      </c>
      <c r="D14" s="1" t="s">
        <v>23</v>
      </c>
      <c r="E14" s="1" t="s">
        <v>12</v>
      </c>
      <c r="F14" s="1" t="s">
        <v>58</v>
      </c>
      <c r="G14" s="1" t="s">
        <v>14</v>
      </c>
      <c r="H14" s="1" t="s">
        <v>26</v>
      </c>
    </row>
    <row r="15" spans="1:8" x14ac:dyDescent="0.35">
      <c r="A15" s="1" t="s">
        <v>59</v>
      </c>
      <c r="B15" s="1" t="s">
        <v>60</v>
      </c>
      <c r="C15" s="1" t="s">
        <v>61</v>
      </c>
      <c r="D15" s="1" t="s">
        <v>11</v>
      </c>
      <c r="E15" s="1" t="s">
        <v>12</v>
      </c>
      <c r="F15" s="1" t="s">
        <v>62</v>
      </c>
      <c r="G15" s="1" t="s">
        <v>25</v>
      </c>
      <c r="H15" s="1" t="s">
        <v>15</v>
      </c>
    </row>
    <row r="16" spans="1:8" x14ac:dyDescent="0.35">
      <c r="A16" s="1" t="s">
        <v>63</v>
      </c>
      <c r="B16" s="1" t="s">
        <v>64</v>
      </c>
      <c r="C16" s="1" t="s">
        <v>61</v>
      </c>
      <c r="D16" s="1" t="s">
        <v>29</v>
      </c>
      <c r="E16" s="1" t="s">
        <v>65</v>
      </c>
      <c r="F16" s="1" t="s">
        <v>50</v>
      </c>
      <c r="G16" s="1" t="s">
        <v>14</v>
      </c>
      <c r="H16" s="1" t="s">
        <v>20</v>
      </c>
    </row>
    <row r="17" spans="1:8" x14ac:dyDescent="0.35">
      <c r="A17" s="1" t="s">
        <v>66</v>
      </c>
      <c r="B17" s="1" t="s">
        <v>67</v>
      </c>
      <c r="C17" s="1" t="s">
        <v>61</v>
      </c>
      <c r="D17" s="1" t="s">
        <v>29</v>
      </c>
      <c r="E17" s="1" t="s">
        <v>65</v>
      </c>
      <c r="F17" s="1" t="s">
        <v>50</v>
      </c>
      <c r="G17" s="1" t="s">
        <v>25</v>
      </c>
      <c r="H17" s="1" t="s">
        <v>15</v>
      </c>
    </row>
    <row r="18" spans="1:8" x14ac:dyDescent="0.35">
      <c r="A18" s="1" t="s">
        <v>68</v>
      </c>
      <c r="B18" s="1" t="s">
        <v>69</v>
      </c>
      <c r="C18" s="1" t="s">
        <v>61</v>
      </c>
      <c r="D18" s="1" t="s">
        <v>18</v>
      </c>
      <c r="E18" s="1" t="s">
        <v>12</v>
      </c>
      <c r="F18" s="1" t="s">
        <v>13</v>
      </c>
      <c r="G18" s="1" t="s">
        <v>14</v>
      </c>
      <c r="H18" s="1" t="s">
        <v>70</v>
      </c>
    </row>
    <row r="19" spans="1:8" x14ac:dyDescent="0.35">
      <c r="A19" s="1" t="s">
        <v>71</v>
      </c>
      <c r="B19" s="1" t="s">
        <v>72</v>
      </c>
      <c r="C19" s="1" t="s">
        <v>73</v>
      </c>
      <c r="D19" s="1" t="s">
        <v>11</v>
      </c>
      <c r="E19" s="1" t="s">
        <v>55</v>
      </c>
      <c r="F19" s="1" t="s">
        <v>74</v>
      </c>
      <c r="G19" s="1" t="s">
        <v>25</v>
      </c>
      <c r="H19" s="1" t="s">
        <v>70</v>
      </c>
    </row>
    <row r="20" spans="1:8" x14ac:dyDescent="0.35">
      <c r="A20" s="1" t="s">
        <v>75</v>
      </c>
      <c r="B20" s="1" t="s">
        <v>76</v>
      </c>
      <c r="C20" s="1" t="s">
        <v>73</v>
      </c>
      <c r="D20" s="1" t="s">
        <v>18</v>
      </c>
      <c r="E20" s="1" t="s">
        <v>12</v>
      </c>
      <c r="F20" s="1" t="s">
        <v>77</v>
      </c>
      <c r="G20" s="1" t="s">
        <v>25</v>
      </c>
      <c r="H20" s="1" t="s">
        <v>78</v>
      </c>
    </row>
    <row r="21" spans="1:8" x14ac:dyDescent="0.35">
      <c r="A21" s="1" t="s">
        <v>79</v>
      </c>
      <c r="B21" s="1" t="s">
        <v>80</v>
      </c>
      <c r="C21" s="1" t="s">
        <v>73</v>
      </c>
      <c r="D21" s="1" t="s">
        <v>29</v>
      </c>
      <c r="E21" s="1" t="s">
        <v>55</v>
      </c>
      <c r="F21" s="1" t="s">
        <v>13</v>
      </c>
      <c r="G21" s="1" t="s">
        <v>14</v>
      </c>
      <c r="H21" s="1" t="s">
        <v>33</v>
      </c>
    </row>
    <row r="22" spans="1:8" x14ac:dyDescent="0.35">
      <c r="A22" s="1" t="s">
        <v>81</v>
      </c>
      <c r="B22" s="1" t="s">
        <v>82</v>
      </c>
      <c r="C22" s="1" t="s">
        <v>73</v>
      </c>
      <c r="D22" s="1" t="s">
        <v>29</v>
      </c>
      <c r="E22" s="1" t="s">
        <v>12</v>
      </c>
      <c r="F22" s="1" t="s">
        <v>19</v>
      </c>
      <c r="G22" s="1" t="s">
        <v>25</v>
      </c>
      <c r="H22" s="1" t="s">
        <v>83</v>
      </c>
    </row>
    <row r="23" spans="1:8" x14ac:dyDescent="0.35">
      <c r="A23" s="1" t="s">
        <v>84</v>
      </c>
      <c r="B23" s="1" t="s">
        <v>85</v>
      </c>
      <c r="C23" s="1" t="s">
        <v>86</v>
      </c>
      <c r="D23" s="1" t="s">
        <v>23</v>
      </c>
      <c r="E23" s="1" t="s">
        <v>87</v>
      </c>
      <c r="F23" s="1" t="s">
        <v>88</v>
      </c>
      <c r="G23" s="1" t="s">
        <v>14</v>
      </c>
      <c r="H23" s="1" t="s">
        <v>26</v>
      </c>
    </row>
    <row r="24" spans="1:8" x14ac:dyDescent="0.35">
      <c r="A24" s="1" t="s">
        <v>89</v>
      </c>
      <c r="B24" s="1" t="s">
        <v>90</v>
      </c>
      <c r="C24" s="1" t="s">
        <v>86</v>
      </c>
      <c r="D24" s="1" t="s">
        <v>18</v>
      </c>
      <c r="E24" s="1" t="s">
        <v>12</v>
      </c>
      <c r="F24" s="1" t="s">
        <v>88</v>
      </c>
      <c r="G24" s="1" t="s">
        <v>14</v>
      </c>
      <c r="H24" s="1" t="s">
        <v>70</v>
      </c>
    </row>
    <row r="25" spans="1:8" x14ac:dyDescent="0.35">
      <c r="A25" s="1" t="s">
        <v>91</v>
      </c>
      <c r="B25" s="1" t="s">
        <v>92</v>
      </c>
      <c r="C25" s="1" t="s">
        <v>86</v>
      </c>
      <c r="D25" s="1" t="s">
        <v>18</v>
      </c>
      <c r="E25" s="1" t="s">
        <v>43</v>
      </c>
      <c r="F25" s="1" t="s">
        <v>93</v>
      </c>
      <c r="G25" s="1" t="s">
        <v>25</v>
      </c>
      <c r="H25" s="1" t="s">
        <v>94</v>
      </c>
    </row>
    <row r="26" spans="1:8" x14ac:dyDescent="0.35">
      <c r="A26" s="1" t="s">
        <v>95</v>
      </c>
      <c r="B26" s="1" t="s">
        <v>96</v>
      </c>
      <c r="C26" s="1" t="s">
        <v>86</v>
      </c>
      <c r="D26" s="1" t="s">
        <v>11</v>
      </c>
      <c r="E26" s="1" t="s">
        <v>12</v>
      </c>
      <c r="F26" s="1" t="s">
        <v>97</v>
      </c>
      <c r="G26" s="1" t="s">
        <v>25</v>
      </c>
      <c r="H26" s="1" t="s">
        <v>70</v>
      </c>
    </row>
    <row r="27" spans="1:8" x14ac:dyDescent="0.35">
      <c r="A27" s="1" t="s">
        <v>98</v>
      </c>
      <c r="B27" s="1" t="s">
        <v>99</v>
      </c>
      <c r="C27" s="1" t="s">
        <v>100</v>
      </c>
      <c r="D27" s="1" t="s">
        <v>29</v>
      </c>
      <c r="E27" s="1" t="s">
        <v>87</v>
      </c>
      <c r="F27" s="1" t="s">
        <v>19</v>
      </c>
      <c r="G27" s="1" t="s">
        <v>14</v>
      </c>
      <c r="H27" s="1" t="s">
        <v>70</v>
      </c>
    </row>
    <row r="28" spans="1:8" x14ac:dyDescent="0.35">
      <c r="A28" s="1" t="s">
        <v>101</v>
      </c>
      <c r="B28" s="1" t="s">
        <v>102</v>
      </c>
      <c r="C28" s="1" t="s">
        <v>100</v>
      </c>
      <c r="D28" s="1" t="s">
        <v>18</v>
      </c>
      <c r="E28" s="1" t="s">
        <v>12</v>
      </c>
      <c r="F28" s="1" t="s">
        <v>103</v>
      </c>
      <c r="G28" s="1" t="s">
        <v>25</v>
      </c>
      <c r="H28" s="1" t="s">
        <v>104</v>
      </c>
    </row>
    <row r="29" spans="1:8" x14ac:dyDescent="0.35">
      <c r="A29" s="1" t="s">
        <v>105</v>
      </c>
      <c r="B29" s="1" t="s">
        <v>106</v>
      </c>
      <c r="C29" s="1" t="s">
        <v>100</v>
      </c>
      <c r="D29" s="1" t="s">
        <v>23</v>
      </c>
      <c r="E29" s="1" t="s">
        <v>12</v>
      </c>
      <c r="F29" s="1" t="s">
        <v>19</v>
      </c>
      <c r="G29" s="1" t="s">
        <v>14</v>
      </c>
      <c r="H29" s="1" t="s">
        <v>26</v>
      </c>
    </row>
    <row r="30" spans="1:8" x14ac:dyDescent="0.35">
      <c r="A30" s="1" t="s">
        <v>107</v>
      </c>
      <c r="B30" s="1" t="s">
        <v>108</v>
      </c>
      <c r="C30" s="1" t="s">
        <v>100</v>
      </c>
      <c r="D30" s="1" t="s">
        <v>18</v>
      </c>
      <c r="E30" s="1" t="s">
        <v>109</v>
      </c>
      <c r="F30" s="1" t="s">
        <v>110</v>
      </c>
      <c r="G30" s="1" t="s">
        <v>14</v>
      </c>
      <c r="H30" s="1" t="s">
        <v>20</v>
      </c>
    </row>
    <row r="31" spans="1:8" x14ac:dyDescent="0.35">
      <c r="A31" s="1" t="s">
        <v>111</v>
      </c>
      <c r="B31" s="1" t="s">
        <v>112</v>
      </c>
      <c r="C31" s="1" t="s">
        <v>113</v>
      </c>
      <c r="D31" s="1" t="s">
        <v>11</v>
      </c>
      <c r="E31" s="1" t="s">
        <v>12</v>
      </c>
      <c r="F31" s="1" t="s">
        <v>114</v>
      </c>
      <c r="G31" s="1" t="s">
        <v>25</v>
      </c>
      <c r="H31" s="1" t="s">
        <v>83</v>
      </c>
    </row>
    <row r="32" spans="1:8" x14ac:dyDescent="0.35">
      <c r="A32" s="1" t="s">
        <v>115</v>
      </c>
      <c r="B32" s="1" t="s">
        <v>116</v>
      </c>
      <c r="C32" s="1" t="s">
        <v>113</v>
      </c>
      <c r="D32" s="1" t="s">
        <v>18</v>
      </c>
      <c r="E32" s="1" t="s">
        <v>12</v>
      </c>
      <c r="F32" s="1" t="s">
        <v>93</v>
      </c>
      <c r="G32" s="1" t="s">
        <v>14</v>
      </c>
      <c r="H32" s="1" t="s">
        <v>33</v>
      </c>
    </row>
    <row r="33" spans="1:8" x14ac:dyDescent="0.35">
      <c r="A33" s="1" t="s">
        <v>117</v>
      </c>
      <c r="B33" s="1" t="s">
        <v>118</v>
      </c>
      <c r="C33" s="1" t="s">
        <v>113</v>
      </c>
      <c r="D33" s="1" t="s">
        <v>23</v>
      </c>
      <c r="E33" s="1" t="s">
        <v>109</v>
      </c>
      <c r="F33" s="1" t="s">
        <v>13</v>
      </c>
      <c r="G33" s="1" t="s">
        <v>14</v>
      </c>
      <c r="H33" s="1" t="s">
        <v>15</v>
      </c>
    </row>
    <row r="34" spans="1:8" x14ac:dyDescent="0.35">
      <c r="A34" s="1" t="s">
        <v>119</v>
      </c>
      <c r="B34" s="1" t="s">
        <v>120</v>
      </c>
      <c r="C34" s="1" t="s">
        <v>113</v>
      </c>
      <c r="D34" s="1" t="s">
        <v>11</v>
      </c>
      <c r="E34" s="1" t="s">
        <v>55</v>
      </c>
      <c r="F34" s="1" t="s">
        <v>19</v>
      </c>
      <c r="G34" s="1" t="s">
        <v>25</v>
      </c>
      <c r="H34" s="1" t="s">
        <v>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B1865-C827-4921-A60D-A0336812BCBB}">
  <dimension ref="A1:K143"/>
  <sheetViews>
    <sheetView workbookViewId="0"/>
  </sheetViews>
  <sheetFormatPr defaultRowHeight="14.5" x14ac:dyDescent="0.35"/>
  <cols>
    <col min="1" max="1" width="22.08984375" bestFit="1" customWidth="1"/>
    <col min="2" max="2" width="21.90625" bestFit="1" customWidth="1"/>
    <col min="3" max="3" width="17.90625" bestFit="1" customWidth="1"/>
    <col min="4" max="4" width="23.6328125" bestFit="1" customWidth="1"/>
    <col min="5" max="5" width="18.453125" bestFit="1" customWidth="1"/>
    <col min="6" max="6" width="17.90625" bestFit="1" customWidth="1"/>
    <col min="7" max="7" width="23.6328125" bestFit="1" customWidth="1"/>
    <col min="8" max="8" width="26" bestFit="1" customWidth="1"/>
    <col min="9" max="9" width="27.453125" bestFit="1" customWidth="1"/>
    <col min="10" max="10" width="20.54296875" bestFit="1" customWidth="1"/>
    <col min="11" max="11" width="21.54296875" bestFit="1" customWidth="1"/>
  </cols>
  <sheetData>
    <row r="1" spans="1:11" x14ac:dyDescent="0.35">
      <c r="A1" t="s">
        <v>448</v>
      </c>
    </row>
    <row r="3" spans="1:11" x14ac:dyDescent="0.35">
      <c r="A3" t="s">
        <v>433</v>
      </c>
      <c r="B3" t="s">
        <v>434</v>
      </c>
      <c r="C3" t="s">
        <v>435</v>
      </c>
      <c r="D3" t="s">
        <v>436</v>
      </c>
      <c r="E3" t="s">
        <v>437</v>
      </c>
      <c r="F3" t="s">
        <v>438</v>
      </c>
      <c r="G3" t="s">
        <v>439</v>
      </c>
      <c r="H3" t="s">
        <v>440</v>
      </c>
      <c r="I3" t="s">
        <v>441</v>
      </c>
      <c r="J3" t="s">
        <v>442</v>
      </c>
      <c r="K3" t="s">
        <v>443</v>
      </c>
    </row>
    <row r="4" spans="1:11" x14ac:dyDescent="0.35">
      <c r="A4" t="s">
        <v>214</v>
      </c>
      <c r="B4" t="s">
        <v>34</v>
      </c>
      <c r="C4">
        <v>58</v>
      </c>
      <c r="D4">
        <v>32</v>
      </c>
      <c r="E4">
        <v>6</v>
      </c>
      <c r="F4">
        <v>3</v>
      </c>
      <c r="G4">
        <v>181.25</v>
      </c>
      <c r="H4">
        <v>0</v>
      </c>
      <c r="I4">
        <v>0</v>
      </c>
      <c r="J4">
        <v>0</v>
      </c>
      <c r="K4">
        <v>0</v>
      </c>
    </row>
    <row r="5" spans="1:11" x14ac:dyDescent="0.35">
      <c r="A5" t="s">
        <v>216</v>
      </c>
      <c r="B5" t="s">
        <v>119</v>
      </c>
      <c r="C5">
        <v>95</v>
      </c>
      <c r="D5">
        <v>58</v>
      </c>
      <c r="E5">
        <v>10</v>
      </c>
      <c r="F5">
        <v>4</v>
      </c>
      <c r="G5">
        <v>163.79</v>
      </c>
      <c r="H5">
        <v>0</v>
      </c>
      <c r="I5">
        <v>0</v>
      </c>
      <c r="J5">
        <v>0</v>
      </c>
      <c r="K5">
        <v>0</v>
      </c>
    </row>
    <row r="6" spans="1:11" x14ac:dyDescent="0.35">
      <c r="A6" t="s">
        <v>218</v>
      </c>
      <c r="B6" t="s">
        <v>63</v>
      </c>
      <c r="C6">
        <v>34</v>
      </c>
      <c r="D6">
        <v>18</v>
      </c>
      <c r="E6">
        <v>2</v>
      </c>
      <c r="F6">
        <v>3</v>
      </c>
      <c r="G6">
        <v>188.89</v>
      </c>
      <c r="H6">
        <v>4</v>
      </c>
      <c r="I6">
        <v>38</v>
      </c>
      <c r="J6">
        <v>3</v>
      </c>
      <c r="K6">
        <v>9.5</v>
      </c>
    </row>
    <row r="7" spans="1:11" x14ac:dyDescent="0.35">
      <c r="A7" t="s">
        <v>219</v>
      </c>
      <c r="B7" t="s">
        <v>84</v>
      </c>
      <c r="C7">
        <v>65</v>
      </c>
      <c r="D7">
        <v>40</v>
      </c>
      <c r="E7">
        <v>7</v>
      </c>
      <c r="F7">
        <v>2</v>
      </c>
      <c r="G7">
        <v>162.5</v>
      </c>
      <c r="H7">
        <v>0</v>
      </c>
      <c r="I7">
        <v>0</v>
      </c>
      <c r="J7">
        <v>0</v>
      </c>
      <c r="K7">
        <v>0</v>
      </c>
    </row>
    <row r="8" spans="1:11" x14ac:dyDescent="0.35">
      <c r="A8" t="s">
        <v>221</v>
      </c>
      <c r="B8" t="s">
        <v>95</v>
      </c>
      <c r="C8">
        <v>88</v>
      </c>
      <c r="D8">
        <v>52</v>
      </c>
      <c r="E8">
        <v>8</v>
      </c>
      <c r="F8">
        <v>3</v>
      </c>
      <c r="G8">
        <v>169.23</v>
      </c>
      <c r="H8">
        <v>0</v>
      </c>
      <c r="I8">
        <v>0</v>
      </c>
      <c r="J8">
        <v>0</v>
      </c>
      <c r="K8">
        <v>0</v>
      </c>
    </row>
    <row r="9" spans="1:11" x14ac:dyDescent="0.35">
      <c r="A9" t="s">
        <v>223</v>
      </c>
      <c r="B9" t="s">
        <v>66</v>
      </c>
      <c r="C9">
        <v>18</v>
      </c>
      <c r="D9">
        <v>10</v>
      </c>
      <c r="E9">
        <v>1</v>
      </c>
      <c r="F9">
        <v>1</v>
      </c>
      <c r="G9">
        <v>180</v>
      </c>
      <c r="H9">
        <v>4</v>
      </c>
      <c r="I9">
        <v>22</v>
      </c>
      <c r="J9">
        <v>2</v>
      </c>
      <c r="K9">
        <v>5.5</v>
      </c>
    </row>
    <row r="10" spans="1:11" x14ac:dyDescent="0.35">
      <c r="A10" t="s">
        <v>225</v>
      </c>
      <c r="B10" t="s">
        <v>37</v>
      </c>
      <c r="C10">
        <v>0</v>
      </c>
      <c r="D10">
        <v>0</v>
      </c>
      <c r="E10">
        <v>0</v>
      </c>
      <c r="F10">
        <v>0</v>
      </c>
      <c r="G10">
        <v>0</v>
      </c>
      <c r="H10">
        <v>4</v>
      </c>
      <c r="I10">
        <v>24</v>
      </c>
      <c r="J10">
        <v>3</v>
      </c>
      <c r="K10">
        <v>6</v>
      </c>
    </row>
    <row r="11" spans="1:11" x14ac:dyDescent="0.35">
      <c r="A11" t="s">
        <v>227</v>
      </c>
      <c r="B11" t="s">
        <v>117</v>
      </c>
      <c r="C11">
        <v>56</v>
      </c>
      <c r="D11">
        <v>28</v>
      </c>
      <c r="E11">
        <v>3</v>
      </c>
      <c r="F11">
        <v>5</v>
      </c>
      <c r="G11">
        <v>200</v>
      </c>
      <c r="H11">
        <v>0</v>
      </c>
      <c r="I11">
        <v>0</v>
      </c>
      <c r="J11">
        <v>0</v>
      </c>
      <c r="K11">
        <v>0</v>
      </c>
    </row>
    <row r="12" spans="1:11" x14ac:dyDescent="0.35">
      <c r="A12" t="s">
        <v>229</v>
      </c>
      <c r="B12" t="s">
        <v>68</v>
      </c>
      <c r="C12">
        <v>0</v>
      </c>
      <c r="D12">
        <v>0</v>
      </c>
      <c r="E12">
        <v>0</v>
      </c>
      <c r="F12">
        <v>0</v>
      </c>
      <c r="G12">
        <v>0</v>
      </c>
      <c r="H12">
        <v>3.3</v>
      </c>
      <c r="I12">
        <v>19</v>
      </c>
      <c r="J12">
        <v>4</v>
      </c>
      <c r="K12">
        <v>5.43</v>
      </c>
    </row>
    <row r="13" spans="1:11" x14ac:dyDescent="0.35">
      <c r="A13" t="s">
        <v>231</v>
      </c>
      <c r="B13" t="s">
        <v>75</v>
      </c>
      <c r="C13">
        <v>0</v>
      </c>
      <c r="D13">
        <v>0</v>
      </c>
      <c r="E13">
        <v>0</v>
      </c>
      <c r="F13">
        <v>0</v>
      </c>
      <c r="G13">
        <v>0</v>
      </c>
      <c r="H13">
        <v>4</v>
      </c>
      <c r="I13">
        <v>17</v>
      </c>
      <c r="J13">
        <v>2</v>
      </c>
      <c r="K13">
        <v>4.25</v>
      </c>
    </row>
    <row r="14" spans="1:11" x14ac:dyDescent="0.35">
      <c r="A14" t="s">
        <v>233</v>
      </c>
      <c r="B14" t="s">
        <v>98</v>
      </c>
      <c r="C14">
        <v>75</v>
      </c>
      <c r="D14">
        <v>45</v>
      </c>
      <c r="E14">
        <v>5</v>
      </c>
      <c r="F14">
        <v>4</v>
      </c>
      <c r="G14">
        <v>166.67</v>
      </c>
      <c r="H14">
        <v>0</v>
      </c>
      <c r="I14">
        <v>0</v>
      </c>
      <c r="J14">
        <v>0</v>
      </c>
      <c r="K14">
        <v>0</v>
      </c>
    </row>
    <row r="15" spans="1:11" x14ac:dyDescent="0.35">
      <c r="A15" t="s">
        <v>235</v>
      </c>
      <c r="B15" t="s">
        <v>41</v>
      </c>
      <c r="C15">
        <v>48</v>
      </c>
      <c r="D15">
        <v>32</v>
      </c>
      <c r="E15">
        <v>4</v>
      </c>
      <c r="F15">
        <v>1</v>
      </c>
      <c r="G15">
        <v>150</v>
      </c>
      <c r="H15">
        <v>0</v>
      </c>
      <c r="I15">
        <v>0</v>
      </c>
      <c r="J15">
        <v>0</v>
      </c>
      <c r="K15">
        <v>0</v>
      </c>
    </row>
    <row r="16" spans="1:11" x14ac:dyDescent="0.35">
      <c r="A16" t="s">
        <v>237</v>
      </c>
      <c r="B16" t="s">
        <v>47</v>
      </c>
      <c r="C16">
        <v>105</v>
      </c>
      <c r="D16">
        <v>60</v>
      </c>
      <c r="E16">
        <v>12</v>
      </c>
      <c r="F16">
        <v>3</v>
      </c>
      <c r="G16">
        <v>175</v>
      </c>
      <c r="H16">
        <v>0</v>
      </c>
      <c r="I16">
        <v>0</v>
      </c>
      <c r="J16">
        <v>0</v>
      </c>
      <c r="K16">
        <v>0</v>
      </c>
    </row>
    <row r="17" spans="1:11" x14ac:dyDescent="0.35">
      <c r="A17" t="s">
        <v>239</v>
      </c>
      <c r="B17" t="s">
        <v>8</v>
      </c>
      <c r="C17">
        <v>88</v>
      </c>
      <c r="D17">
        <v>48</v>
      </c>
      <c r="E17">
        <v>9</v>
      </c>
      <c r="F17">
        <v>4</v>
      </c>
      <c r="G17">
        <v>183.33</v>
      </c>
      <c r="H17">
        <v>0</v>
      </c>
      <c r="I17">
        <v>0</v>
      </c>
      <c r="J17">
        <v>0</v>
      </c>
      <c r="K17">
        <v>0</v>
      </c>
    </row>
    <row r="18" spans="1:11" x14ac:dyDescent="0.35">
      <c r="A18" t="s">
        <v>241</v>
      </c>
      <c r="B18" t="s">
        <v>111</v>
      </c>
      <c r="C18">
        <v>65</v>
      </c>
      <c r="D18">
        <v>40</v>
      </c>
      <c r="E18">
        <v>6</v>
      </c>
      <c r="F18">
        <v>2</v>
      </c>
      <c r="G18">
        <v>162.5</v>
      </c>
      <c r="H18">
        <v>0</v>
      </c>
      <c r="I18">
        <v>0</v>
      </c>
      <c r="J18">
        <v>0</v>
      </c>
      <c r="K18">
        <v>0</v>
      </c>
    </row>
    <row r="19" spans="1:11" x14ac:dyDescent="0.35">
      <c r="A19" t="s">
        <v>243</v>
      </c>
      <c r="B19" t="s">
        <v>101</v>
      </c>
      <c r="C19">
        <v>0</v>
      </c>
      <c r="D19">
        <v>0</v>
      </c>
      <c r="E19">
        <v>0</v>
      </c>
      <c r="F19">
        <v>0</v>
      </c>
      <c r="G19">
        <v>0</v>
      </c>
      <c r="H19">
        <v>4</v>
      </c>
      <c r="I19">
        <v>22</v>
      </c>
      <c r="J19">
        <v>3</v>
      </c>
      <c r="K19">
        <v>5.5</v>
      </c>
    </row>
    <row r="20" spans="1:11" x14ac:dyDescent="0.35">
      <c r="A20" t="s">
        <v>245</v>
      </c>
      <c r="B20" t="s">
        <v>34</v>
      </c>
      <c r="C20">
        <v>55</v>
      </c>
      <c r="D20">
        <v>30</v>
      </c>
      <c r="E20">
        <v>5</v>
      </c>
      <c r="F20">
        <v>3</v>
      </c>
      <c r="G20">
        <v>183.33</v>
      </c>
      <c r="H20">
        <v>0</v>
      </c>
      <c r="I20">
        <v>0</v>
      </c>
      <c r="J20">
        <v>0</v>
      </c>
      <c r="K20">
        <v>0</v>
      </c>
    </row>
    <row r="21" spans="1:11" x14ac:dyDescent="0.35">
      <c r="A21" t="s">
        <v>247</v>
      </c>
      <c r="B21" t="s">
        <v>53</v>
      </c>
      <c r="C21">
        <v>68</v>
      </c>
      <c r="D21">
        <v>40</v>
      </c>
      <c r="E21">
        <v>6</v>
      </c>
      <c r="F21">
        <v>3</v>
      </c>
      <c r="G21">
        <v>170</v>
      </c>
      <c r="H21">
        <v>0</v>
      </c>
      <c r="I21">
        <v>0</v>
      </c>
      <c r="J21">
        <v>0</v>
      </c>
      <c r="K21">
        <v>0</v>
      </c>
    </row>
    <row r="22" spans="1:11" x14ac:dyDescent="0.35">
      <c r="A22" t="s">
        <v>249</v>
      </c>
      <c r="B22" t="s">
        <v>89</v>
      </c>
      <c r="C22">
        <v>0</v>
      </c>
      <c r="D22">
        <v>0</v>
      </c>
      <c r="E22">
        <v>0</v>
      </c>
      <c r="F22">
        <v>0</v>
      </c>
      <c r="G22">
        <v>0</v>
      </c>
      <c r="H22">
        <v>4</v>
      </c>
      <c r="I22">
        <v>20</v>
      </c>
      <c r="J22">
        <v>3</v>
      </c>
      <c r="K22">
        <v>5</v>
      </c>
    </row>
    <row r="23" spans="1:11" x14ac:dyDescent="0.35">
      <c r="A23" t="s">
        <v>251</v>
      </c>
      <c r="B23" t="s">
        <v>79</v>
      </c>
      <c r="C23">
        <v>50</v>
      </c>
      <c r="D23">
        <v>30</v>
      </c>
      <c r="E23">
        <v>4</v>
      </c>
      <c r="F23">
        <v>3</v>
      </c>
      <c r="G23">
        <v>166.67</v>
      </c>
      <c r="H23">
        <v>0</v>
      </c>
      <c r="I23">
        <v>0</v>
      </c>
      <c r="J23">
        <v>0</v>
      </c>
      <c r="K23">
        <v>0</v>
      </c>
    </row>
    <row r="24" spans="1:11" x14ac:dyDescent="0.35">
      <c r="A24" t="s">
        <v>253</v>
      </c>
      <c r="B24" t="s">
        <v>16</v>
      </c>
      <c r="C24">
        <v>0</v>
      </c>
      <c r="D24">
        <v>0</v>
      </c>
      <c r="E24">
        <v>0</v>
      </c>
      <c r="F24">
        <v>0</v>
      </c>
      <c r="G24">
        <v>0</v>
      </c>
      <c r="H24">
        <v>4</v>
      </c>
      <c r="I24">
        <v>26</v>
      </c>
      <c r="J24">
        <v>3</v>
      </c>
      <c r="K24">
        <v>6.5</v>
      </c>
    </row>
    <row r="25" spans="1:11" x14ac:dyDescent="0.35">
      <c r="A25" t="s">
        <v>255</v>
      </c>
      <c r="B25" t="s">
        <v>115</v>
      </c>
      <c r="C25">
        <v>0</v>
      </c>
      <c r="D25">
        <v>0</v>
      </c>
      <c r="E25">
        <v>0</v>
      </c>
      <c r="F25">
        <v>0</v>
      </c>
      <c r="G25">
        <v>0</v>
      </c>
      <c r="H25">
        <v>4</v>
      </c>
      <c r="I25">
        <v>23</v>
      </c>
      <c r="J25">
        <v>2</v>
      </c>
      <c r="K25">
        <v>5.75</v>
      </c>
    </row>
    <row r="26" spans="1:11" x14ac:dyDescent="0.35">
      <c r="A26" t="s">
        <v>257</v>
      </c>
      <c r="B26" t="s">
        <v>47</v>
      </c>
      <c r="C26">
        <v>80</v>
      </c>
      <c r="D26">
        <v>55</v>
      </c>
      <c r="E26">
        <v>7</v>
      </c>
      <c r="F26">
        <v>2</v>
      </c>
      <c r="G26">
        <v>145.44999999999999</v>
      </c>
      <c r="H26">
        <v>0</v>
      </c>
      <c r="I26">
        <v>0</v>
      </c>
      <c r="J26">
        <v>0</v>
      </c>
      <c r="K26">
        <v>0</v>
      </c>
    </row>
    <row r="27" spans="1:11" x14ac:dyDescent="0.35">
      <c r="A27" t="s">
        <v>259</v>
      </c>
      <c r="B27" t="s">
        <v>21</v>
      </c>
      <c r="C27">
        <v>78</v>
      </c>
      <c r="D27">
        <v>45</v>
      </c>
      <c r="E27">
        <v>8</v>
      </c>
      <c r="F27">
        <v>3</v>
      </c>
      <c r="G27">
        <v>173.33</v>
      </c>
      <c r="H27">
        <v>0</v>
      </c>
      <c r="I27">
        <v>0</v>
      </c>
      <c r="J27">
        <v>0</v>
      </c>
      <c r="K27">
        <v>0</v>
      </c>
    </row>
    <row r="28" spans="1:11" x14ac:dyDescent="0.35">
      <c r="A28" t="s">
        <v>261</v>
      </c>
      <c r="B28" t="s">
        <v>119</v>
      </c>
      <c r="C28">
        <v>90</v>
      </c>
      <c r="D28">
        <v>50</v>
      </c>
      <c r="E28">
        <v>11</v>
      </c>
      <c r="F28">
        <v>3</v>
      </c>
      <c r="G28">
        <v>180</v>
      </c>
      <c r="H28">
        <v>0</v>
      </c>
      <c r="I28">
        <v>0</v>
      </c>
      <c r="J28">
        <v>0</v>
      </c>
      <c r="K28">
        <v>0</v>
      </c>
    </row>
    <row r="29" spans="1:11" x14ac:dyDescent="0.35">
      <c r="A29" t="s">
        <v>263</v>
      </c>
      <c r="B29" t="s">
        <v>44</v>
      </c>
      <c r="C29">
        <v>0</v>
      </c>
      <c r="D29">
        <v>0</v>
      </c>
      <c r="E29">
        <v>0</v>
      </c>
      <c r="F29">
        <v>0</v>
      </c>
      <c r="G29">
        <v>0</v>
      </c>
      <c r="H29">
        <v>4</v>
      </c>
      <c r="I29">
        <v>21</v>
      </c>
      <c r="J29">
        <v>3</v>
      </c>
      <c r="K29">
        <v>5.25</v>
      </c>
    </row>
    <row r="30" spans="1:11" x14ac:dyDescent="0.35">
      <c r="A30" t="s">
        <v>265</v>
      </c>
      <c r="B30" t="s">
        <v>84</v>
      </c>
      <c r="C30">
        <v>102</v>
      </c>
      <c r="D30">
        <v>59</v>
      </c>
      <c r="E30">
        <v>10</v>
      </c>
      <c r="F30">
        <v>4</v>
      </c>
      <c r="G30">
        <v>172.88</v>
      </c>
      <c r="H30">
        <v>0</v>
      </c>
      <c r="I30">
        <v>0</v>
      </c>
      <c r="J30">
        <v>0</v>
      </c>
      <c r="K30">
        <v>0</v>
      </c>
    </row>
    <row r="31" spans="1:11" x14ac:dyDescent="0.35">
      <c r="A31" t="s">
        <v>267</v>
      </c>
      <c r="B31" t="s">
        <v>27</v>
      </c>
      <c r="C31">
        <v>60</v>
      </c>
      <c r="D31">
        <v>35</v>
      </c>
      <c r="E31">
        <v>5</v>
      </c>
      <c r="F31">
        <v>3</v>
      </c>
      <c r="G31">
        <v>171.43</v>
      </c>
      <c r="H31">
        <v>0</v>
      </c>
      <c r="I31">
        <v>0</v>
      </c>
      <c r="J31">
        <v>0</v>
      </c>
      <c r="K31">
        <v>0</v>
      </c>
    </row>
    <row r="32" spans="1:11" x14ac:dyDescent="0.35">
      <c r="A32" t="s">
        <v>269</v>
      </c>
      <c r="B32" t="s">
        <v>105</v>
      </c>
      <c r="C32">
        <v>70</v>
      </c>
      <c r="D32">
        <v>42</v>
      </c>
      <c r="E32">
        <v>8</v>
      </c>
      <c r="F32">
        <v>2</v>
      </c>
      <c r="G32">
        <v>166.67</v>
      </c>
      <c r="H32">
        <v>0</v>
      </c>
      <c r="I32">
        <v>0</v>
      </c>
      <c r="J32">
        <v>0</v>
      </c>
      <c r="K32">
        <v>0</v>
      </c>
    </row>
    <row r="33" spans="1:11" x14ac:dyDescent="0.35">
      <c r="A33" t="s">
        <v>271</v>
      </c>
      <c r="B33" t="s">
        <v>59</v>
      </c>
      <c r="C33">
        <v>85</v>
      </c>
      <c r="D33">
        <v>45</v>
      </c>
      <c r="E33">
        <v>7</v>
      </c>
      <c r="F33">
        <v>4</v>
      </c>
      <c r="G33">
        <v>188.89</v>
      </c>
      <c r="H33">
        <v>0</v>
      </c>
      <c r="I33">
        <v>0</v>
      </c>
      <c r="J33">
        <v>0</v>
      </c>
      <c r="K33">
        <v>0</v>
      </c>
    </row>
    <row r="34" spans="1:11" x14ac:dyDescent="0.35">
      <c r="A34" t="s">
        <v>273</v>
      </c>
      <c r="B34" t="s">
        <v>56</v>
      </c>
      <c r="C34">
        <v>42</v>
      </c>
      <c r="D34">
        <v>21</v>
      </c>
      <c r="E34">
        <v>3</v>
      </c>
      <c r="F34">
        <v>3</v>
      </c>
      <c r="G34">
        <v>200</v>
      </c>
      <c r="H34">
        <v>0</v>
      </c>
      <c r="I34">
        <v>0</v>
      </c>
      <c r="J34">
        <v>0</v>
      </c>
      <c r="K34">
        <v>0</v>
      </c>
    </row>
    <row r="35" spans="1:11" x14ac:dyDescent="0.35">
      <c r="A35" t="s">
        <v>275</v>
      </c>
      <c r="B35" t="s">
        <v>81</v>
      </c>
      <c r="C35">
        <v>0</v>
      </c>
      <c r="D35">
        <v>0</v>
      </c>
      <c r="E35">
        <v>0</v>
      </c>
      <c r="F35">
        <v>0</v>
      </c>
      <c r="G35">
        <v>0</v>
      </c>
      <c r="H35">
        <v>4</v>
      </c>
      <c r="I35">
        <v>25</v>
      </c>
      <c r="J35">
        <v>2</v>
      </c>
      <c r="K35">
        <v>6.25</v>
      </c>
    </row>
    <row r="36" spans="1:11" x14ac:dyDescent="0.35">
      <c r="A36" t="s">
        <v>277</v>
      </c>
      <c r="B36" t="s">
        <v>107</v>
      </c>
      <c r="C36">
        <v>0</v>
      </c>
      <c r="D36">
        <v>0</v>
      </c>
      <c r="E36">
        <v>0</v>
      </c>
      <c r="F36">
        <v>0</v>
      </c>
      <c r="G36">
        <v>0</v>
      </c>
      <c r="H36">
        <v>4</v>
      </c>
      <c r="I36">
        <v>20</v>
      </c>
      <c r="J36">
        <v>3</v>
      </c>
      <c r="K36">
        <v>5</v>
      </c>
    </row>
    <row r="37" spans="1:11" x14ac:dyDescent="0.35">
      <c r="A37" t="s">
        <v>279</v>
      </c>
      <c r="B37" t="s">
        <v>63</v>
      </c>
      <c r="C37">
        <v>90</v>
      </c>
      <c r="D37">
        <v>48</v>
      </c>
      <c r="E37">
        <v>8</v>
      </c>
      <c r="F37">
        <v>5</v>
      </c>
      <c r="G37">
        <v>187.5</v>
      </c>
      <c r="H37">
        <v>4</v>
      </c>
      <c r="I37">
        <v>35</v>
      </c>
      <c r="J37">
        <v>1</v>
      </c>
      <c r="K37">
        <v>8.75</v>
      </c>
    </row>
    <row r="38" spans="1:11" x14ac:dyDescent="0.35">
      <c r="A38" t="s">
        <v>281</v>
      </c>
      <c r="B38" t="s">
        <v>117</v>
      </c>
      <c r="C38">
        <v>110</v>
      </c>
      <c r="D38">
        <v>60</v>
      </c>
      <c r="E38">
        <v>10</v>
      </c>
      <c r="F38">
        <v>6</v>
      </c>
      <c r="G38">
        <v>183.33</v>
      </c>
      <c r="H38">
        <v>0</v>
      </c>
      <c r="I38">
        <v>0</v>
      </c>
      <c r="J38">
        <v>0</v>
      </c>
      <c r="K38">
        <v>0</v>
      </c>
    </row>
    <row r="39" spans="1:11" x14ac:dyDescent="0.35">
      <c r="A39" t="s">
        <v>283</v>
      </c>
      <c r="B39" t="s">
        <v>31</v>
      </c>
      <c r="C39">
        <v>30</v>
      </c>
      <c r="D39">
        <v>20</v>
      </c>
      <c r="E39">
        <v>2</v>
      </c>
      <c r="F39">
        <v>2</v>
      </c>
      <c r="G39">
        <v>150</v>
      </c>
      <c r="H39">
        <v>4</v>
      </c>
      <c r="I39">
        <v>25</v>
      </c>
      <c r="J39">
        <v>2</v>
      </c>
      <c r="K39">
        <v>6.25</v>
      </c>
    </row>
    <row r="40" spans="1:11" x14ac:dyDescent="0.35">
      <c r="A40" t="s">
        <v>285</v>
      </c>
      <c r="B40" t="s">
        <v>91</v>
      </c>
      <c r="C40">
        <v>0</v>
      </c>
      <c r="D40">
        <v>0</v>
      </c>
      <c r="E40">
        <v>0</v>
      </c>
      <c r="F40">
        <v>0</v>
      </c>
      <c r="G40">
        <v>0</v>
      </c>
      <c r="H40">
        <v>3.3</v>
      </c>
      <c r="I40">
        <v>18</v>
      </c>
      <c r="J40">
        <v>4</v>
      </c>
      <c r="K40">
        <v>5.14</v>
      </c>
    </row>
    <row r="41" spans="1:11" x14ac:dyDescent="0.35">
      <c r="A41" t="s">
        <v>287</v>
      </c>
      <c r="B41" t="s">
        <v>37</v>
      </c>
      <c r="C41">
        <v>0</v>
      </c>
      <c r="D41">
        <v>0</v>
      </c>
      <c r="E41">
        <v>0</v>
      </c>
      <c r="F41">
        <v>0</v>
      </c>
      <c r="G41">
        <v>0</v>
      </c>
      <c r="H41">
        <v>4</v>
      </c>
      <c r="I41">
        <v>22</v>
      </c>
      <c r="J41">
        <v>2</v>
      </c>
      <c r="K41">
        <v>5.5</v>
      </c>
    </row>
    <row r="42" spans="1:11" x14ac:dyDescent="0.35">
      <c r="A42" t="s">
        <v>289</v>
      </c>
      <c r="B42" t="s">
        <v>47</v>
      </c>
      <c r="C42">
        <v>120</v>
      </c>
      <c r="D42">
        <v>60</v>
      </c>
      <c r="E42">
        <v>12</v>
      </c>
      <c r="F42">
        <v>7</v>
      </c>
      <c r="G42">
        <v>200</v>
      </c>
      <c r="H42">
        <v>0</v>
      </c>
      <c r="I42">
        <v>0</v>
      </c>
      <c r="J42">
        <v>0</v>
      </c>
      <c r="K42">
        <v>0</v>
      </c>
    </row>
    <row r="43" spans="1:11" x14ac:dyDescent="0.35">
      <c r="A43" t="s">
        <v>291</v>
      </c>
      <c r="B43" t="s">
        <v>95</v>
      </c>
      <c r="C43">
        <v>85</v>
      </c>
      <c r="D43">
        <v>55</v>
      </c>
      <c r="E43">
        <v>9</v>
      </c>
      <c r="F43">
        <v>2</v>
      </c>
      <c r="G43">
        <v>154.55000000000001</v>
      </c>
      <c r="H43">
        <v>0</v>
      </c>
      <c r="I43">
        <v>0</v>
      </c>
      <c r="J43">
        <v>0</v>
      </c>
      <c r="K43">
        <v>0</v>
      </c>
    </row>
    <row r="44" spans="1:11" x14ac:dyDescent="0.35">
      <c r="A44" t="s">
        <v>293</v>
      </c>
      <c r="B44" t="s">
        <v>111</v>
      </c>
      <c r="C44">
        <v>70</v>
      </c>
      <c r="D44">
        <v>40</v>
      </c>
      <c r="E44">
        <v>7</v>
      </c>
      <c r="F44">
        <v>3</v>
      </c>
      <c r="G44">
        <v>175</v>
      </c>
      <c r="H44">
        <v>0</v>
      </c>
      <c r="I44">
        <v>0</v>
      </c>
      <c r="J44">
        <v>0</v>
      </c>
      <c r="K44">
        <v>0</v>
      </c>
    </row>
    <row r="45" spans="1:11" x14ac:dyDescent="0.35">
      <c r="A45" t="s">
        <v>295</v>
      </c>
      <c r="B45" t="s">
        <v>71</v>
      </c>
      <c r="C45">
        <v>90</v>
      </c>
      <c r="D45">
        <v>50</v>
      </c>
      <c r="E45">
        <v>9</v>
      </c>
      <c r="F45">
        <v>4</v>
      </c>
      <c r="G45">
        <v>180</v>
      </c>
      <c r="H45">
        <v>0</v>
      </c>
      <c r="I45">
        <v>0</v>
      </c>
      <c r="J45">
        <v>0</v>
      </c>
      <c r="K45">
        <v>0</v>
      </c>
    </row>
    <row r="46" spans="1:11" x14ac:dyDescent="0.35">
      <c r="A46" t="s">
        <v>297</v>
      </c>
      <c r="B46" t="s">
        <v>51</v>
      </c>
      <c r="C46">
        <v>0</v>
      </c>
      <c r="D46">
        <v>0</v>
      </c>
      <c r="E46">
        <v>0</v>
      </c>
      <c r="F46">
        <v>0</v>
      </c>
      <c r="G46">
        <v>0</v>
      </c>
      <c r="H46">
        <v>4</v>
      </c>
      <c r="I46">
        <v>25</v>
      </c>
      <c r="J46">
        <v>3</v>
      </c>
      <c r="K46">
        <v>6.25</v>
      </c>
    </row>
    <row r="47" spans="1:11" x14ac:dyDescent="0.35">
      <c r="A47" t="s">
        <v>299</v>
      </c>
      <c r="B47" t="s">
        <v>59</v>
      </c>
      <c r="C47">
        <v>105</v>
      </c>
      <c r="D47">
        <v>55</v>
      </c>
      <c r="E47">
        <v>10</v>
      </c>
      <c r="F47">
        <v>5</v>
      </c>
      <c r="G47">
        <v>190.91</v>
      </c>
      <c r="H47">
        <v>0</v>
      </c>
      <c r="I47">
        <v>0</v>
      </c>
      <c r="J47">
        <v>0</v>
      </c>
      <c r="K47">
        <v>0</v>
      </c>
    </row>
    <row r="48" spans="1:11" x14ac:dyDescent="0.35">
      <c r="A48" t="s">
        <v>301</v>
      </c>
      <c r="B48" t="s">
        <v>119</v>
      </c>
      <c r="C48">
        <v>95</v>
      </c>
      <c r="D48">
        <v>58</v>
      </c>
      <c r="E48">
        <v>10</v>
      </c>
      <c r="F48">
        <v>4</v>
      </c>
      <c r="G48">
        <v>163.79</v>
      </c>
      <c r="H48">
        <v>0</v>
      </c>
      <c r="I48">
        <v>0</v>
      </c>
      <c r="J48">
        <v>0</v>
      </c>
      <c r="K48">
        <v>0</v>
      </c>
    </row>
    <row r="49" spans="1:11" x14ac:dyDescent="0.35">
      <c r="A49" t="s">
        <v>303</v>
      </c>
      <c r="B49" t="s">
        <v>34</v>
      </c>
      <c r="C49">
        <v>58</v>
      </c>
      <c r="D49">
        <v>32</v>
      </c>
      <c r="E49">
        <v>6</v>
      </c>
      <c r="F49">
        <v>3</v>
      </c>
      <c r="G49">
        <v>181.25</v>
      </c>
      <c r="H49">
        <v>0</v>
      </c>
      <c r="I49">
        <v>0</v>
      </c>
      <c r="J49">
        <v>0</v>
      </c>
      <c r="K49">
        <v>0</v>
      </c>
    </row>
    <row r="50" spans="1:11" x14ac:dyDescent="0.35">
      <c r="A50" t="s">
        <v>305</v>
      </c>
      <c r="B50" t="s">
        <v>63</v>
      </c>
      <c r="C50">
        <v>34</v>
      </c>
      <c r="D50">
        <v>18</v>
      </c>
      <c r="E50">
        <v>2</v>
      </c>
      <c r="F50">
        <v>3</v>
      </c>
      <c r="G50">
        <v>188.89</v>
      </c>
      <c r="H50">
        <v>4</v>
      </c>
      <c r="I50">
        <v>38</v>
      </c>
      <c r="J50">
        <v>3</v>
      </c>
      <c r="K50">
        <v>9.5</v>
      </c>
    </row>
    <row r="51" spans="1:11" x14ac:dyDescent="0.35">
      <c r="A51" t="s">
        <v>307</v>
      </c>
      <c r="B51" t="s">
        <v>84</v>
      </c>
      <c r="C51">
        <v>65</v>
      </c>
      <c r="D51">
        <v>40</v>
      </c>
      <c r="E51">
        <v>7</v>
      </c>
      <c r="F51">
        <v>2</v>
      </c>
      <c r="G51">
        <v>162.5</v>
      </c>
      <c r="H51">
        <v>0</v>
      </c>
      <c r="I51">
        <v>0</v>
      </c>
      <c r="J51">
        <v>0</v>
      </c>
      <c r="K51">
        <v>0</v>
      </c>
    </row>
    <row r="52" spans="1:11" x14ac:dyDescent="0.35">
      <c r="A52" t="s">
        <v>309</v>
      </c>
      <c r="B52" t="s">
        <v>95</v>
      </c>
      <c r="C52">
        <v>88</v>
      </c>
      <c r="D52">
        <v>52</v>
      </c>
      <c r="E52">
        <v>8</v>
      </c>
      <c r="F52">
        <v>3</v>
      </c>
      <c r="G52">
        <v>169.23</v>
      </c>
      <c r="H52">
        <v>0</v>
      </c>
      <c r="I52">
        <v>0</v>
      </c>
      <c r="J52">
        <v>0</v>
      </c>
      <c r="K52">
        <v>0</v>
      </c>
    </row>
    <row r="53" spans="1:11" x14ac:dyDescent="0.35">
      <c r="A53" t="s">
        <v>311</v>
      </c>
      <c r="B53" t="s">
        <v>66</v>
      </c>
      <c r="C53">
        <v>18</v>
      </c>
      <c r="D53">
        <v>10</v>
      </c>
      <c r="E53">
        <v>1</v>
      </c>
      <c r="F53">
        <v>1</v>
      </c>
      <c r="G53">
        <v>180</v>
      </c>
      <c r="H53">
        <v>4</v>
      </c>
      <c r="I53">
        <v>22</v>
      </c>
      <c r="J53">
        <v>2</v>
      </c>
      <c r="K53">
        <v>5.5</v>
      </c>
    </row>
    <row r="54" spans="1:11" x14ac:dyDescent="0.35">
      <c r="A54" t="s">
        <v>313</v>
      </c>
      <c r="B54" t="s">
        <v>37</v>
      </c>
      <c r="C54">
        <v>0</v>
      </c>
      <c r="D54">
        <v>0</v>
      </c>
      <c r="E54">
        <v>0</v>
      </c>
      <c r="F54">
        <v>0</v>
      </c>
      <c r="G54">
        <v>0</v>
      </c>
      <c r="H54">
        <v>4</v>
      </c>
      <c r="I54">
        <v>24</v>
      </c>
      <c r="J54">
        <v>3</v>
      </c>
      <c r="K54">
        <v>6</v>
      </c>
    </row>
    <row r="55" spans="1:11" x14ac:dyDescent="0.35">
      <c r="A55" t="s">
        <v>315</v>
      </c>
      <c r="B55" t="s">
        <v>117</v>
      </c>
      <c r="C55">
        <v>56</v>
      </c>
      <c r="D55">
        <v>28</v>
      </c>
      <c r="E55">
        <v>3</v>
      </c>
      <c r="F55">
        <v>5</v>
      </c>
      <c r="G55">
        <v>200</v>
      </c>
      <c r="H55">
        <v>0</v>
      </c>
      <c r="I55">
        <v>0</v>
      </c>
      <c r="J55">
        <v>0</v>
      </c>
      <c r="K55">
        <v>0</v>
      </c>
    </row>
    <row r="56" spans="1:11" x14ac:dyDescent="0.35">
      <c r="A56" t="s">
        <v>317</v>
      </c>
      <c r="B56" t="s">
        <v>68</v>
      </c>
      <c r="C56">
        <v>0</v>
      </c>
      <c r="D56">
        <v>0</v>
      </c>
      <c r="E56">
        <v>0</v>
      </c>
      <c r="F56">
        <v>0</v>
      </c>
      <c r="G56">
        <v>0</v>
      </c>
      <c r="H56">
        <v>3.3</v>
      </c>
      <c r="I56">
        <v>19</v>
      </c>
      <c r="J56">
        <v>4</v>
      </c>
      <c r="K56">
        <v>5.43</v>
      </c>
    </row>
    <row r="57" spans="1:11" x14ac:dyDescent="0.35">
      <c r="A57" t="s">
        <v>319</v>
      </c>
      <c r="B57" t="s">
        <v>75</v>
      </c>
      <c r="C57">
        <v>0</v>
      </c>
      <c r="D57">
        <v>0</v>
      </c>
      <c r="E57">
        <v>0</v>
      </c>
      <c r="F57">
        <v>0</v>
      </c>
      <c r="G57">
        <v>0</v>
      </c>
      <c r="H57">
        <v>4</v>
      </c>
      <c r="I57">
        <v>17</v>
      </c>
      <c r="J57">
        <v>2</v>
      </c>
      <c r="K57">
        <v>4.25</v>
      </c>
    </row>
    <row r="58" spans="1:11" x14ac:dyDescent="0.35">
      <c r="A58" t="s">
        <v>321</v>
      </c>
      <c r="B58" t="s">
        <v>98</v>
      </c>
      <c r="C58">
        <v>75</v>
      </c>
      <c r="D58">
        <v>45</v>
      </c>
      <c r="E58">
        <v>5</v>
      </c>
      <c r="F58">
        <v>4</v>
      </c>
      <c r="G58">
        <v>166.67</v>
      </c>
      <c r="H58">
        <v>0</v>
      </c>
      <c r="I58">
        <v>0</v>
      </c>
      <c r="J58">
        <v>0</v>
      </c>
      <c r="K58">
        <v>0</v>
      </c>
    </row>
    <row r="59" spans="1:11" x14ac:dyDescent="0.35">
      <c r="A59" t="s">
        <v>323</v>
      </c>
      <c r="B59" t="s">
        <v>41</v>
      </c>
      <c r="C59">
        <v>48</v>
      </c>
      <c r="D59">
        <v>32</v>
      </c>
      <c r="E59">
        <v>4</v>
      </c>
      <c r="F59">
        <v>1</v>
      </c>
      <c r="G59">
        <v>150</v>
      </c>
      <c r="H59">
        <v>0</v>
      </c>
      <c r="I59">
        <v>0</v>
      </c>
      <c r="J59">
        <v>0</v>
      </c>
      <c r="K59">
        <v>0</v>
      </c>
    </row>
    <row r="60" spans="1:11" x14ac:dyDescent="0.35">
      <c r="A60" t="s">
        <v>325</v>
      </c>
      <c r="B60" t="s">
        <v>47</v>
      </c>
      <c r="C60">
        <v>105</v>
      </c>
      <c r="D60">
        <v>60</v>
      </c>
      <c r="E60">
        <v>12</v>
      </c>
      <c r="F60">
        <v>3</v>
      </c>
      <c r="G60">
        <v>175</v>
      </c>
      <c r="H60">
        <v>0</v>
      </c>
      <c r="I60">
        <v>0</v>
      </c>
      <c r="J60">
        <v>0</v>
      </c>
      <c r="K60">
        <v>0</v>
      </c>
    </row>
    <row r="61" spans="1:11" x14ac:dyDescent="0.35">
      <c r="A61" t="s">
        <v>327</v>
      </c>
      <c r="B61" t="s">
        <v>8</v>
      </c>
      <c r="C61">
        <v>88</v>
      </c>
      <c r="D61">
        <v>48</v>
      </c>
      <c r="E61">
        <v>9</v>
      </c>
      <c r="F61">
        <v>4</v>
      </c>
      <c r="G61">
        <v>183.33</v>
      </c>
      <c r="H61">
        <v>0</v>
      </c>
      <c r="I61">
        <v>0</v>
      </c>
      <c r="J61">
        <v>0</v>
      </c>
      <c r="K61">
        <v>0</v>
      </c>
    </row>
    <row r="62" spans="1:11" x14ac:dyDescent="0.35">
      <c r="A62" t="s">
        <v>329</v>
      </c>
      <c r="B62" t="s">
        <v>111</v>
      </c>
      <c r="C62">
        <v>65</v>
      </c>
      <c r="D62">
        <v>40</v>
      </c>
      <c r="E62">
        <v>6</v>
      </c>
      <c r="F62">
        <v>2</v>
      </c>
      <c r="G62">
        <v>162.5</v>
      </c>
      <c r="H62">
        <v>0</v>
      </c>
      <c r="I62">
        <v>0</v>
      </c>
      <c r="J62">
        <v>0</v>
      </c>
      <c r="K62">
        <v>0</v>
      </c>
    </row>
    <row r="63" spans="1:11" x14ac:dyDescent="0.35">
      <c r="A63" t="s">
        <v>331</v>
      </c>
      <c r="B63" t="s">
        <v>101</v>
      </c>
      <c r="C63">
        <v>0</v>
      </c>
      <c r="D63">
        <v>0</v>
      </c>
      <c r="E63">
        <v>0</v>
      </c>
      <c r="F63">
        <v>0</v>
      </c>
      <c r="G63">
        <v>0</v>
      </c>
      <c r="H63">
        <v>4</v>
      </c>
      <c r="I63">
        <v>22</v>
      </c>
      <c r="J63">
        <v>3</v>
      </c>
      <c r="K63">
        <v>5.5</v>
      </c>
    </row>
    <row r="64" spans="1:11" x14ac:dyDescent="0.35">
      <c r="A64" t="s">
        <v>342</v>
      </c>
      <c r="B64" t="s">
        <v>34</v>
      </c>
      <c r="C64">
        <v>60</v>
      </c>
      <c r="D64">
        <v>35</v>
      </c>
      <c r="E64">
        <v>7</v>
      </c>
      <c r="F64">
        <v>2</v>
      </c>
      <c r="G64">
        <v>171.43</v>
      </c>
      <c r="H64">
        <v>0</v>
      </c>
      <c r="I64">
        <v>0</v>
      </c>
      <c r="J64">
        <v>0</v>
      </c>
      <c r="K64">
        <v>0</v>
      </c>
    </row>
    <row r="65" spans="1:11" x14ac:dyDescent="0.35">
      <c r="A65" t="s">
        <v>343</v>
      </c>
      <c r="B65" t="s">
        <v>119</v>
      </c>
      <c r="C65">
        <v>75</v>
      </c>
      <c r="D65">
        <v>45</v>
      </c>
      <c r="E65">
        <v>8</v>
      </c>
      <c r="F65">
        <v>3</v>
      </c>
      <c r="G65">
        <v>166.67</v>
      </c>
      <c r="H65">
        <v>0</v>
      </c>
      <c r="I65">
        <v>0</v>
      </c>
      <c r="J65">
        <v>0</v>
      </c>
      <c r="K65">
        <v>0</v>
      </c>
    </row>
    <row r="66" spans="1:11" x14ac:dyDescent="0.35">
      <c r="A66" t="s">
        <v>344</v>
      </c>
      <c r="B66" t="s">
        <v>63</v>
      </c>
      <c r="C66">
        <v>45</v>
      </c>
      <c r="D66">
        <v>25</v>
      </c>
      <c r="E66">
        <v>3</v>
      </c>
      <c r="F66">
        <v>4</v>
      </c>
      <c r="G66">
        <v>180</v>
      </c>
      <c r="H66">
        <v>4</v>
      </c>
      <c r="I66">
        <v>35</v>
      </c>
      <c r="J66">
        <v>2</v>
      </c>
      <c r="K66">
        <v>8.75</v>
      </c>
    </row>
    <row r="67" spans="1:11" x14ac:dyDescent="0.35">
      <c r="A67" t="s">
        <v>345</v>
      </c>
      <c r="B67" t="s">
        <v>84</v>
      </c>
      <c r="C67">
        <v>90</v>
      </c>
      <c r="D67">
        <v>50</v>
      </c>
      <c r="E67">
        <v>9</v>
      </c>
      <c r="F67">
        <v>3</v>
      </c>
      <c r="G67">
        <v>180</v>
      </c>
      <c r="H67">
        <v>0</v>
      </c>
      <c r="I67">
        <v>0</v>
      </c>
      <c r="J67">
        <v>0</v>
      </c>
      <c r="K67">
        <v>0</v>
      </c>
    </row>
    <row r="68" spans="1:11" x14ac:dyDescent="0.35">
      <c r="A68" t="s">
        <v>346</v>
      </c>
      <c r="B68" t="s">
        <v>95</v>
      </c>
      <c r="C68">
        <v>50</v>
      </c>
      <c r="D68">
        <v>30</v>
      </c>
      <c r="E68">
        <v>5</v>
      </c>
      <c r="F68">
        <v>2</v>
      </c>
      <c r="G68">
        <v>166.67</v>
      </c>
      <c r="H68">
        <v>0</v>
      </c>
      <c r="I68">
        <v>0</v>
      </c>
      <c r="J68">
        <v>0</v>
      </c>
      <c r="K68">
        <v>0</v>
      </c>
    </row>
    <row r="69" spans="1:11" x14ac:dyDescent="0.35">
      <c r="A69" t="s">
        <v>347</v>
      </c>
      <c r="B69" t="s">
        <v>66</v>
      </c>
      <c r="C69">
        <v>25</v>
      </c>
      <c r="D69">
        <v>15</v>
      </c>
      <c r="E69">
        <v>2</v>
      </c>
      <c r="F69">
        <v>2</v>
      </c>
      <c r="G69">
        <v>166.67</v>
      </c>
      <c r="H69">
        <v>4</v>
      </c>
      <c r="I69">
        <v>20</v>
      </c>
      <c r="J69">
        <v>3</v>
      </c>
      <c r="K69">
        <v>5</v>
      </c>
    </row>
    <row r="70" spans="1:11" x14ac:dyDescent="0.35">
      <c r="A70" t="s">
        <v>348</v>
      </c>
      <c r="B70" t="s">
        <v>37</v>
      </c>
      <c r="C70">
        <v>0</v>
      </c>
      <c r="D70">
        <v>0</v>
      </c>
      <c r="E70">
        <v>0</v>
      </c>
      <c r="F70">
        <v>0</v>
      </c>
      <c r="G70">
        <v>0</v>
      </c>
      <c r="H70">
        <v>4</v>
      </c>
      <c r="I70">
        <v>25</v>
      </c>
      <c r="J70">
        <v>3</v>
      </c>
      <c r="K70">
        <v>6.25</v>
      </c>
    </row>
    <row r="71" spans="1:11" x14ac:dyDescent="0.35">
      <c r="A71" t="s">
        <v>349</v>
      </c>
      <c r="B71" t="s">
        <v>117</v>
      </c>
      <c r="C71">
        <v>40</v>
      </c>
      <c r="D71">
        <v>20</v>
      </c>
      <c r="E71">
        <v>4</v>
      </c>
      <c r="F71">
        <v>3</v>
      </c>
      <c r="G71">
        <v>200</v>
      </c>
      <c r="H71">
        <v>0</v>
      </c>
      <c r="I71">
        <v>0</v>
      </c>
      <c r="J71">
        <v>0</v>
      </c>
      <c r="K71">
        <v>0</v>
      </c>
    </row>
    <row r="72" spans="1:11" x14ac:dyDescent="0.35">
      <c r="A72" t="s">
        <v>350</v>
      </c>
      <c r="B72" t="s">
        <v>68</v>
      </c>
      <c r="C72">
        <v>0</v>
      </c>
      <c r="D72">
        <v>0</v>
      </c>
      <c r="E72">
        <v>0</v>
      </c>
      <c r="F72">
        <v>0</v>
      </c>
      <c r="G72">
        <v>0</v>
      </c>
      <c r="H72">
        <v>4</v>
      </c>
      <c r="I72">
        <v>22</v>
      </c>
      <c r="J72">
        <v>3</v>
      </c>
      <c r="K72">
        <v>5.5</v>
      </c>
    </row>
    <row r="73" spans="1:11" x14ac:dyDescent="0.35">
      <c r="A73" t="s">
        <v>351</v>
      </c>
      <c r="B73" t="s">
        <v>75</v>
      </c>
      <c r="C73">
        <v>0</v>
      </c>
      <c r="D73">
        <v>0</v>
      </c>
      <c r="E73">
        <v>0</v>
      </c>
      <c r="F73">
        <v>0</v>
      </c>
      <c r="G73">
        <v>0</v>
      </c>
      <c r="H73">
        <v>4</v>
      </c>
      <c r="I73">
        <v>15</v>
      </c>
      <c r="J73">
        <v>2</v>
      </c>
      <c r="K73">
        <v>3.75</v>
      </c>
    </row>
    <row r="74" spans="1:11" x14ac:dyDescent="0.35">
      <c r="A74" t="s">
        <v>352</v>
      </c>
      <c r="B74" t="s">
        <v>98</v>
      </c>
      <c r="C74">
        <v>65</v>
      </c>
      <c r="D74">
        <v>40</v>
      </c>
      <c r="E74">
        <v>6</v>
      </c>
      <c r="F74">
        <v>3</v>
      </c>
      <c r="G74">
        <v>162.5</v>
      </c>
      <c r="H74">
        <v>0</v>
      </c>
      <c r="I74">
        <v>0</v>
      </c>
      <c r="J74">
        <v>0</v>
      </c>
      <c r="K74">
        <v>0</v>
      </c>
    </row>
    <row r="75" spans="1:11" x14ac:dyDescent="0.35">
      <c r="A75" t="s">
        <v>353</v>
      </c>
      <c r="B75" t="s">
        <v>41</v>
      </c>
      <c r="C75">
        <v>55</v>
      </c>
      <c r="D75">
        <v>35</v>
      </c>
      <c r="E75">
        <v>5</v>
      </c>
      <c r="F75">
        <v>2</v>
      </c>
      <c r="G75">
        <v>157.13999999999999</v>
      </c>
      <c r="H75">
        <v>0</v>
      </c>
      <c r="I75">
        <v>0</v>
      </c>
      <c r="J75">
        <v>0</v>
      </c>
      <c r="K75">
        <v>0</v>
      </c>
    </row>
    <row r="76" spans="1:11" x14ac:dyDescent="0.35">
      <c r="A76" t="s">
        <v>354</v>
      </c>
      <c r="B76" t="s">
        <v>47</v>
      </c>
      <c r="C76">
        <v>85</v>
      </c>
      <c r="D76">
        <v>50</v>
      </c>
      <c r="E76">
        <v>8</v>
      </c>
      <c r="F76">
        <v>3</v>
      </c>
      <c r="G76">
        <v>170</v>
      </c>
      <c r="H76">
        <v>0</v>
      </c>
      <c r="I76">
        <v>0</v>
      </c>
      <c r="J76">
        <v>0</v>
      </c>
      <c r="K76">
        <v>0</v>
      </c>
    </row>
    <row r="77" spans="1:11" x14ac:dyDescent="0.35">
      <c r="A77" t="s">
        <v>355</v>
      </c>
      <c r="B77" t="s">
        <v>8</v>
      </c>
      <c r="C77">
        <v>70</v>
      </c>
      <c r="D77">
        <v>45</v>
      </c>
      <c r="E77">
        <v>7</v>
      </c>
      <c r="F77">
        <v>3</v>
      </c>
      <c r="G77">
        <v>155.56</v>
      </c>
      <c r="H77">
        <v>0</v>
      </c>
      <c r="I77">
        <v>0</v>
      </c>
      <c r="J77">
        <v>0</v>
      </c>
      <c r="K77">
        <v>0</v>
      </c>
    </row>
    <row r="78" spans="1:11" x14ac:dyDescent="0.35">
      <c r="A78" t="s">
        <v>356</v>
      </c>
      <c r="B78" t="s">
        <v>111</v>
      </c>
      <c r="C78">
        <v>55</v>
      </c>
      <c r="D78">
        <v>35</v>
      </c>
      <c r="E78">
        <v>5</v>
      </c>
      <c r="F78">
        <v>2</v>
      </c>
      <c r="G78">
        <v>157.13999999999999</v>
      </c>
      <c r="H78">
        <v>0</v>
      </c>
      <c r="I78">
        <v>0</v>
      </c>
      <c r="J78">
        <v>0</v>
      </c>
      <c r="K78">
        <v>0</v>
      </c>
    </row>
    <row r="79" spans="1:11" x14ac:dyDescent="0.35">
      <c r="A79" t="s">
        <v>357</v>
      </c>
      <c r="B79" t="s">
        <v>101</v>
      </c>
      <c r="C79">
        <v>0</v>
      </c>
      <c r="D79">
        <v>0</v>
      </c>
      <c r="E79">
        <v>0</v>
      </c>
      <c r="F79">
        <v>0</v>
      </c>
      <c r="G79">
        <v>0</v>
      </c>
      <c r="H79">
        <v>4</v>
      </c>
      <c r="I79">
        <v>28</v>
      </c>
      <c r="J79">
        <v>3</v>
      </c>
      <c r="K79">
        <v>7</v>
      </c>
    </row>
    <row r="80" spans="1:11" x14ac:dyDescent="0.35">
      <c r="A80" t="s">
        <v>358</v>
      </c>
      <c r="B80" t="s">
        <v>16</v>
      </c>
      <c r="C80">
        <v>0</v>
      </c>
      <c r="D80">
        <v>0</v>
      </c>
      <c r="E80">
        <v>0</v>
      </c>
      <c r="F80">
        <v>0</v>
      </c>
      <c r="G80">
        <v>0</v>
      </c>
      <c r="H80">
        <v>4</v>
      </c>
      <c r="I80">
        <v>25</v>
      </c>
      <c r="J80">
        <v>2</v>
      </c>
      <c r="K80">
        <v>6.25</v>
      </c>
    </row>
    <row r="81" spans="1:11" x14ac:dyDescent="0.35">
      <c r="A81" t="s">
        <v>359</v>
      </c>
      <c r="B81" t="s">
        <v>115</v>
      </c>
      <c r="C81">
        <v>0</v>
      </c>
      <c r="D81">
        <v>0</v>
      </c>
      <c r="E81">
        <v>0</v>
      </c>
      <c r="F81">
        <v>0</v>
      </c>
      <c r="G81">
        <v>0</v>
      </c>
      <c r="H81">
        <v>4</v>
      </c>
      <c r="I81">
        <v>35</v>
      </c>
      <c r="J81">
        <v>1</v>
      </c>
      <c r="K81">
        <v>8.75</v>
      </c>
    </row>
    <row r="82" spans="1:11" x14ac:dyDescent="0.35">
      <c r="A82" t="s">
        <v>360</v>
      </c>
      <c r="B82" t="s">
        <v>47</v>
      </c>
      <c r="C82">
        <v>90</v>
      </c>
      <c r="D82">
        <v>55</v>
      </c>
      <c r="E82">
        <v>9</v>
      </c>
      <c r="F82">
        <v>3</v>
      </c>
      <c r="G82">
        <v>163.63999999999999</v>
      </c>
      <c r="H82">
        <v>0</v>
      </c>
      <c r="I82">
        <v>0</v>
      </c>
      <c r="J82">
        <v>0</v>
      </c>
      <c r="K82">
        <v>0</v>
      </c>
    </row>
    <row r="83" spans="1:11" x14ac:dyDescent="0.35">
      <c r="A83" t="s">
        <v>361</v>
      </c>
      <c r="B83" t="s">
        <v>21</v>
      </c>
      <c r="C83">
        <v>45</v>
      </c>
      <c r="D83">
        <v>30</v>
      </c>
      <c r="E83">
        <v>4</v>
      </c>
      <c r="F83">
        <v>2</v>
      </c>
      <c r="G83">
        <v>150</v>
      </c>
      <c r="H83">
        <v>0</v>
      </c>
      <c r="I83">
        <v>0</v>
      </c>
      <c r="J83">
        <v>0</v>
      </c>
      <c r="K83">
        <v>0</v>
      </c>
    </row>
    <row r="84" spans="1:11" x14ac:dyDescent="0.35">
      <c r="A84" t="s">
        <v>362</v>
      </c>
      <c r="B84" t="s">
        <v>27</v>
      </c>
      <c r="C84">
        <v>50</v>
      </c>
      <c r="D84">
        <v>30</v>
      </c>
      <c r="E84">
        <v>5</v>
      </c>
      <c r="F84">
        <v>2</v>
      </c>
      <c r="G84">
        <v>166.67</v>
      </c>
      <c r="H84">
        <v>0</v>
      </c>
      <c r="I84">
        <v>0</v>
      </c>
      <c r="J84">
        <v>0</v>
      </c>
      <c r="K84">
        <v>0</v>
      </c>
    </row>
    <row r="85" spans="1:11" x14ac:dyDescent="0.35">
      <c r="A85" t="s">
        <v>363</v>
      </c>
      <c r="B85" t="s">
        <v>81</v>
      </c>
      <c r="C85">
        <v>0</v>
      </c>
      <c r="D85">
        <v>0</v>
      </c>
      <c r="E85">
        <v>0</v>
      </c>
      <c r="F85">
        <v>0</v>
      </c>
      <c r="G85">
        <v>0</v>
      </c>
      <c r="H85">
        <v>4</v>
      </c>
      <c r="I85">
        <v>20</v>
      </c>
      <c r="J85">
        <v>3</v>
      </c>
      <c r="K85">
        <v>5</v>
      </c>
    </row>
    <row r="86" spans="1:11" x14ac:dyDescent="0.35">
      <c r="A86" t="s">
        <v>364</v>
      </c>
      <c r="B86" t="s">
        <v>107</v>
      </c>
      <c r="C86">
        <v>0</v>
      </c>
      <c r="D86">
        <v>0</v>
      </c>
      <c r="E86">
        <v>0</v>
      </c>
      <c r="F86">
        <v>0</v>
      </c>
      <c r="G86">
        <v>0</v>
      </c>
      <c r="H86">
        <v>4</v>
      </c>
      <c r="I86">
        <v>22</v>
      </c>
      <c r="J86">
        <v>2</v>
      </c>
      <c r="K86">
        <v>5.5</v>
      </c>
    </row>
    <row r="87" spans="1:11" x14ac:dyDescent="0.35">
      <c r="A87" t="s">
        <v>365</v>
      </c>
      <c r="B87" t="s">
        <v>63</v>
      </c>
      <c r="C87">
        <v>80</v>
      </c>
      <c r="D87">
        <v>40</v>
      </c>
      <c r="E87">
        <v>8</v>
      </c>
      <c r="F87">
        <v>4</v>
      </c>
      <c r="G87">
        <v>200</v>
      </c>
      <c r="H87">
        <v>4</v>
      </c>
      <c r="I87">
        <v>30</v>
      </c>
      <c r="J87">
        <v>1</v>
      </c>
      <c r="K87">
        <v>7.5</v>
      </c>
    </row>
    <row r="88" spans="1:11" x14ac:dyDescent="0.35">
      <c r="A88" t="s">
        <v>366</v>
      </c>
      <c r="B88" t="s">
        <v>117</v>
      </c>
      <c r="C88">
        <v>65</v>
      </c>
      <c r="D88">
        <v>35</v>
      </c>
      <c r="E88">
        <v>6</v>
      </c>
      <c r="F88">
        <v>4</v>
      </c>
      <c r="G88">
        <v>185.71</v>
      </c>
      <c r="H88">
        <v>0</v>
      </c>
      <c r="I88">
        <v>0</v>
      </c>
      <c r="J88">
        <v>0</v>
      </c>
      <c r="K88">
        <v>0</v>
      </c>
    </row>
    <row r="89" spans="1:11" x14ac:dyDescent="0.35">
      <c r="A89" t="s">
        <v>367</v>
      </c>
      <c r="B89" t="s">
        <v>31</v>
      </c>
      <c r="C89">
        <v>40</v>
      </c>
      <c r="D89">
        <v>25</v>
      </c>
      <c r="E89">
        <v>3</v>
      </c>
      <c r="F89">
        <v>2</v>
      </c>
      <c r="G89">
        <v>160</v>
      </c>
      <c r="H89">
        <v>4</v>
      </c>
      <c r="I89">
        <v>30</v>
      </c>
      <c r="J89">
        <v>2</v>
      </c>
      <c r="K89">
        <v>7.5</v>
      </c>
    </row>
    <row r="90" spans="1:11" x14ac:dyDescent="0.35">
      <c r="A90" t="s">
        <v>368</v>
      </c>
      <c r="B90" t="s">
        <v>91</v>
      </c>
      <c r="C90">
        <v>0</v>
      </c>
      <c r="D90">
        <v>0</v>
      </c>
      <c r="E90">
        <v>0</v>
      </c>
      <c r="F90">
        <v>0</v>
      </c>
      <c r="G90">
        <v>0</v>
      </c>
      <c r="H90">
        <v>3.5</v>
      </c>
      <c r="I90">
        <v>15</v>
      </c>
      <c r="J90">
        <v>3</v>
      </c>
      <c r="K90">
        <v>3.86</v>
      </c>
    </row>
    <row r="91" spans="1:11" x14ac:dyDescent="0.35">
      <c r="A91" t="s">
        <v>369</v>
      </c>
      <c r="B91" t="s">
        <v>79</v>
      </c>
      <c r="C91">
        <v>55</v>
      </c>
      <c r="D91">
        <v>30</v>
      </c>
      <c r="E91">
        <v>5</v>
      </c>
      <c r="F91">
        <v>3</v>
      </c>
      <c r="G91">
        <v>183.33</v>
      </c>
      <c r="H91">
        <v>0</v>
      </c>
      <c r="I91">
        <v>0</v>
      </c>
      <c r="J91">
        <v>0</v>
      </c>
      <c r="K91">
        <v>0</v>
      </c>
    </row>
    <row r="92" spans="1:11" x14ac:dyDescent="0.35">
      <c r="A92" t="s">
        <v>370</v>
      </c>
      <c r="B92" t="s">
        <v>47</v>
      </c>
      <c r="C92">
        <v>70</v>
      </c>
      <c r="D92">
        <v>40</v>
      </c>
      <c r="E92">
        <v>7</v>
      </c>
      <c r="F92">
        <v>3</v>
      </c>
      <c r="G92">
        <v>175</v>
      </c>
      <c r="H92">
        <v>0</v>
      </c>
      <c r="I92">
        <v>0</v>
      </c>
      <c r="J92">
        <v>0</v>
      </c>
      <c r="K92">
        <v>0</v>
      </c>
    </row>
    <row r="93" spans="1:11" x14ac:dyDescent="0.35">
      <c r="A93" t="s">
        <v>371</v>
      </c>
      <c r="B93" t="s">
        <v>95</v>
      </c>
      <c r="C93">
        <v>60</v>
      </c>
      <c r="D93">
        <v>40</v>
      </c>
      <c r="E93">
        <v>6</v>
      </c>
      <c r="F93">
        <v>2</v>
      </c>
      <c r="G93">
        <v>150</v>
      </c>
      <c r="H93">
        <v>0</v>
      </c>
      <c r="I93">
        <v>0</v>
      </c>
      <c r="J93">
        <v>0</v>
      </c>
      <c r="K93">
        <v>0</v>
      </c>
    </row>
    <row r="94" spans="1:11" x14ac:dyDescent="0.35">
      <c r="A94" t="s">
        <v>372</v>
      </c>
      <c r="B94" t="s">
        <v>111</v>
      </c>
      <c r="C94">
        <v>80</v>
      </c>
      <c r="D94">
        <v>45</v>
      </c>
      <c r="E94">
        <v>8</v>
      </c>
      <c r="F94">
        <v>3</v>
      </c>
      <c r="G94">
        <v>177.78</v>
      </c>
      <c r="H94">
        <v>0</v>
      </c>
      <c r="I94">
        <v>0</v>
      </c>
      <c r="J94">
        <v>0</v>
      </c>
      <c r="K94">
        <v>0</v>
      </c>
    </row>
    <row r="95" spans="1:11" x14ac:dyDescent="0.35">
      <c r="A95" t="s">
        <v>373</v>
      </c>
      <c r="B95" t="s">
        <v>16</v>
      </c>
      <c r="C95">
        <v>0</v>
      </c>
      <c r="D95">
        <v>0</v>
      </c>
      <c r="E95">
        <v>0</v>
      </c>
      <c r="F95">
        <v>0</v>
      </c>
      <c r="G95">
        <v>0</v>
      </c>
      <c r="H95">
        <v>4</v>
      </c>
      <c r="I95">
        <v>28</v>
      </c>
      <c r="J95">
        <v>3</v>
      </c>
      <c r="K95">
        <v>7</v>
      </c>
    </row>
    <row r="96" spans="1:11" x14ac:dyDescent="0.35">
      <c r="A96" t="s">
        <v>374</v>
      </c>
      <c r="B96" t="s">
        <v>51</v>
      </c>
      <c r="C96">
        <v>0</v>
      </c>
      <c r="D96">
        <v>0</v>
      </c>
      <c r="E96">
        <v>0</v>
      </c>
      <c r="F96">
        <v>0</v>
      </c>
      <c r="G96">
        <v>0</v>
      </c>
      <c r="H96">
        <v>4</v>
      </c>
      <c r="I96">
        <v>30</v>
      </c>
      <c r="J96">
        <v>2</v>
      </c>
      <c r="K96">
        <v>7.5</v>
      </c>
    </row>
    <row r="97" spans="1:11" x14ac:dyDescent="0.35">
      <c r="A97" t="s">
        <v>375</v>
      </c>
      <c r="B97" t="s">
        <v>21</v>
      </c>
      <c r="C97">
        <v>50</v>
      </c>
      <c r="D97">
        <v>35</v>
      </c>
      <c r="E97">
        <v>5</v>
      </c>
      <c r="F97">
        <v>2</v>
      </c>
      <c r="G97">
        <v>142.86000000000001</v>
      </c>
      <c r="H97">
        <v>0</v>
      </c>
      <c r="I97">
        <v>0</v>
      </c>
      <c r="J97">
        <v>0</v>
      </c>
      <c r="K97">
        <v>0</v>
      </c>
    </row>
    <row r="98" spans="1:11" x14ac:dyDescent="0.35">
      <c r="A98" t="s">
        <v>376</v>
      </c>
      <c r="B98" t="s">
        <v>119</v>
      </c>
      <c r="C98">
        <v>60</v>
      </c>
      <c r="D98">
        <v>40</v>
      </c>
      <c r="E98">
        <v>6</v>
      </c>
      <c r="F98">
        <v>2</v>
      </c>
      <c r="G98">
        <v>150</v>
      </c>
      <c r="H98">
        <v>0</v>
      </c>
      <c r="I98">
        <v>0</v>
      </c>
      <c r="J98">
        <v>0</v>
      </c>
      <c r="K98">
        <v>0</v>
      </c>
    </row>
    <row r="99" spans="1:11" x14ac:dyDescent="0.35">
      <c r="A99" t="s">
        <v>377</v>
      </c>
      <c r="B99" t="s">
        <v>59</v>
      </c>
      <c r="C99">
        <v>50</v>
      </c>
      <c r="D99">
        <v>30</v>
      </c>
      <c r="E99">
        <v>5</v>
      </c>
      <c r="F99">
        <v>2</v>
      </c>
      <c r="G99">
        <v>166.67</v>
      </c>
      <c r="H99">
        <v>0</v>
      </c>
      <c r="I99">
        <v>0</v>
      </c>
      <c r="J99">
        <v>0</v>
      </c>
      <c r="K99">
        <v>0</v>
      </c>
    </row>
    <row r="100" spans="1:11" x14ac:dyDescent="0.35">
      <c r="A100" t="s">
        <v>378</v>
      </c>
      <c r="B100" t="s">
        <v>34</v>
      </c>
      <c r="C100">
        <v>70</v>
      </c>
      <c r="D100">
        <v>40</v>
      </c>
      <c r="E100">
        <v>7</v>
      </c>
      <c r="F100">
        <v>3</v>
      </c>
      <c r="G100">
        <v>175</v>
      </c>
      <c r="H100">
        <v>0</v>
      </c>
      <c r="I100">
        <v>0</v>
      </c>
      <c r="J100">
        <v>0</v>
      </c>
      <c r="K100">
        <v>0</v>
      </c>
    </row>
    <row r="101" spans="1:11" x14ac:dyDescent="0.35">
      <c r="A101" t="s">
        <v>379</v>
      </c>
      <c r="B101" t="s">
        <v>84</v>
      </c>
      <c r="C101">
        <v>55</v>
      </c>
      <c r="D101">
        <v>35</v>
      </c>
      <c r="E101">
        <v>5</v>
      </c>
      <c r="F101">
        <v>2</v>
      </c>
      <c r="G101">
        <v>157.13999999999999</v>
      </c>
      <c r="H101">
        <v>0</v>
      </c>
      <c r="I101">
        <v>0</v>
      </c>
      <c r="J101">
        <v>0</v>
      </c>
      <c r="K101">
        <v>0</v>
      </c>
    </row>
    <row r="102" spans="1:11" x14ac:dyDescent="0.35">
      <c r="A102" t="s">
        <v>380</v>
      </c>
      <c r="B102" t="s">
        <v>63</v>
      </c>
      <c r="C102">
        <v>60</v>
      </c>
      <c r="D102">
        <v>30</v>
      </c>
      <c r="E102">
        <v>6</v>
      </c>
      <c r="F102">
        <v>4</v>
      </c>
      <c r="G102">
        <v>200</v>
      </c>
      <c r="H102">
        <v>4</v>
      </c>
      <c r="I102">
        <v>40</v>
      </c>
      <c r="J102">
        <v>1</v>
      </c>
      <c r="K102">
        <v>10</v>
      </c>
    </row>
    <row r="103" spans="1:11" x14ac:dyDescent="0.35">
      <c r="A103" t="s">
        <v>381</v>
      </c>
      <c r="B103" t="s">
        <v>101</v>
      </c>
      <c r="C103">
        <v>0</v>
      </c>
      <c r="D103">
        <v>0</v>
      </c>
      <c r="E103">
        <v>0</v>
      </c>
      <c r="F103">
        <v>0</v>
      </c>
      <c r="G103">
        <v>0</v>
      </c>
      <c r="H103">
        <v>4</v>
      </c>
      <c r="I103">
        <v>32</v>
      </c>
      <c r="J103">
        <v>2</v>
      </c>
      <c r="K103">
        <v>8</v>
      </c>
    </row>
    <row r="104" spans="1:11" x14ac:dyDescent="0.35">
      <c r="A104" t="s">
        <v>382</v>
      </c>
      <c r="B104" t="s">
        <v>84</v>
      </c>
      <c r="C104">
        <v>85</v>
      </c>
      <c r="D104">
        <v>45</v>
      </c>
      <c r="E104">
        <v>8</v>
      </c>
      <c r="F104">
        <v>4</v>
      </c>
      <c r="G104">
        <v>188.89</v>
      </c>
      <c r="H104">
        <v>0</v>
      </c>
      <c r="I104">
        <v>0</v>
      </c>
      <c r="J104">
        <v>0</v>
      </c>
      <c r="K104">
        <v>0</v>
      </c>
    </row>
    <row r="105" spans="1:11" x14ac:dyDescent="0.35">
      <c r="A105" t="s">
        <v>383</v>
      </c>
      <c r="B105" t="s">
        <v>16</v>
      </c>
      <c r="C105">
        <v>0</v>
      </c>
      <c r="D105">
        <v>0</v>
      </c>
      <c r="E105">
        <v>0</v>
      </c>
      <c r="F105">
        <v>0</v>
      </c>
      <c r="G105">
        <v>0</v>
      </c>
      <c r="H105">
        <v>4</v>
      </c>
      <c r="I105">
        <v>25</v>
      </c>
      <c r="J105">
        <v>3</v>
      </c>
      <c r="K105">
        <v>6.25</v>
      </c>
    </row>
    <row r="106" spans="1:11" x14ac:dyDescent="0.35">
      <c r="A106" t="s">
        <v>384</v>
      </c>
      <c r="B106" t="s">
        <v>95</v>
      </c>
      <c r="C106">
        <v>75</v>
      </c>
      <c r="D106">
        <v>40</v>
      </c>
      <c r="E106">
        <v>7</v>
      </c>
      <c r="F106">
        <v>3</v>
      </c>
      <c r="G106">
        <v>187.5</v>
      </c>
      <c r="H106">
        <v>0</v>
      </c>
      <c r="I106">
        <v>0</v>
      </c>
      <c r="J106">
        <v>0</v>
      </c>
      <c r="K106">
        <v>0</v>
      </c>
    </row>
    <row r="107" spans="1:11" x14ac:dyDescent="0.35">
      <c r="A107" t="s">
        <v>385</v>
      </c>
      <c r="B107" t="s">
        <v>47</v>
      </c>
      <c r="C107">
        <v>50</v>
      </c>
      <c r="D107">
        <v>30</v>
      </c>
      <c r="E107">
        <v>5</v>
      </c>
      <c r="F107">
        <v>2</v>
      </c>
      <c r="G107">
        <v>166.67</v>
      </c>
      <c r="H107">
        <v>0</v>
      </c>
      <c r="I107">
        <v>0</v>
      </c>
      <c r="J107">
        <v>0</v>
      </c>
      <c r="K107">
        <v>0</v>
      </c>
    </row>
    <row r="108" spans="1:11" x14ac:dyDescent="0.35">
      <c r="A108" t="s">
        <v>386</v>
      </c>
      <c r="B108" t="s">
        <v>66</v>
      </c>
      <c r="C108">
        <v>30</v>
      </c>
      <c r="D108">
        <v>15</v>
      </c>
      <c r="E108">
        <v>3</v>
      </c>
      <c r="F108">
        <v>2</v>
      </c>
      <c r="G108">
        <v>200</v>
      </c>
      <c r="H108">
        <v>4</v>
      </c>
      <c r="I108">
        <v>28</v>
      </c>
      <c r="J108">
        <v>2</v>
      </c>
      <c r="K108">
        <v>7</v>
      </c>
    </row>
    <row r="109" spans="1:11" x14ac:dyDescent="0.35">
      <c r="A109" t="s">
        <v>387</v>
      </c>
      <c r="B109" t="s">
        <v>81</v>
      </c>
      <c r="C109">
        <v>0</v>
      </c>
      <c r="D109">
        <v>0</v>
      </c>
      <c r="E109">
        <v>0</v>
      </c>
      <c r="F109">
        <v>0</v>
      </c>
      <c r="G109">
        <v>0</v>
      </c>
      <c r="H109">
        <v>4</v>
      </c>
      <c r="I109">
        <v>22</v>
      </c>
      <c r="J109">
        <v>2</v>
      </c>
      <c r="K109">
        <v>5.5</v>
      </c>
    </row>
    <row r="110" spans="1:11" x14ac:dyDescent="0.35">
      <c r="A110" t="s">
        <v>388</v>
      </c>
      <c r="B110" t="s">
        <v>37</v>
      </c>
      <c r="C110">
        <v>0</v>
      </c>
      <c r="D110">
        <v>0</v>
      </c>
      <c r="E110">
        <v>0</v>
      </c>
      <c r="F110">
        <v>0</v>
      </c>
      <c r="G110">
        <v>0</v>
      </c>
      <c r="H110">
        <v>4</v>
      </c>
      <c r="I110">
        <v>30</v>
      </c>
      <c r="J110">
        <v>2</v>
      </c>
      <c r="K110">
        <v>7.5</v>
      </c>
    </row>
    <row r="111" spans="1:11" x14ac:dyDescent="0.35">
      <c r="A111" t="s">
        <v>389</v>
      </c>
      <c r="B111" t="s">
        <v>98</v>
      </c>
      <c r="C111">
        <v>45</v>
      </c>
      <c r="D111">
        <v>30</v>
      </c>
      <c r="E111">
        <v>4</v>
      </c>
      <c r="F111">
        <v>2</v>
      </c>
      <c r="G111">
        <v>150</v>
      </c>
      <c r="H111">
        <v>0</v>
      </c>
      <c r="I111">
        <v>0</v>
      </c>
      <c r="J111">
        <v>0</v>
      </c>
      <c r="K111">
        <v>0</v>
      </c>
    </row>
    <row r="112" spans="1:11" x14ac:dyDescent="0.35">
      <c r="A112" t="s">
        <v>390</v>
      </c>
      <c r="B112" t="s">
        <v>117</v>
      </c>
      <c r="C112">
        <v>75</v>
      </c>
      <c r="D112">
        <v>40</v>
      </c>
      <c r="E112">
        <v>7</v>
      </c>
      <c r="F112">
        <v>4</v>
      </c>
      <c r="G112">
        <v>187.5</v>
      </c>
      <c r="H112">
        <v>0</v>
      </c>
      <c r="I112">
        <v>0</v>
      </c>
      <c r="J112">
        <v>0</v>
      </c>
      <c r="K112">
        <v>0</v>
      </c>
    </row>
    <row r="113" spans="1:11" x14ac:dyDescent="0.35">
      <c r="A113" t="s">
        <v>391</v>
      </c>
      <c r="B113" t="s">
        <v>31</v>
      </c>
      <c r="C113">
        <v>50</v>
      </c>
      <c r="D113">
        <v>30</v>
      </c>
      <c r="E113">
        <v>5</v>
      </c>
      <c r="F113">
        <v>2</v>
      </c>
      <c r="G113">
        <v>166.67</v>
      </c>
      <c r="H113">
        <v>4</v>
      </c>
      <c r="I113">
        <v>35</v>
      </c>
      <c r="J113">
        <v>1</v>
      </c>
      <c r="K113">
        <v>8.75</v>
      </c>
    </row>
    <row r="114" spans="1:11" x14ac:dyDescent="0.35">
      <c r="A114" t="s">
        <v>392</v>
      </c>
      <c r="B114" t="s">
        <v>91</v>
      </c>
      <c r="C114">
        <v>0</v>
      </c>
      <c r="D114">
        <v>0</v>
      </c>
      <c r="E114">
        <v>0</v>
      </c>
      <c r="F114">
        <v>0</v>
      </c>
      <c r="G114">
        <v>0</v>
      </c>
      <c r="H114">
        <v>4</v>
      </c>
      <c r="I114">
        <v>22</v>
      </c>
      <c r="J114">
        <v>3</v>
      </c>
      <c r="K114">
        <v>5.5</v>
      </c>
    </row>
    <row r="115" spans="1:11" x14ac:dyDescent="0.35">
      <c r="A115" t="s">
        <v>393</v>
      </c>
      <c r="B115" t="s">
        <v>119</v>
      </c>
      <c r="C115">
        <v>40</v>
      </c>
      <c r="D115">
        <v>25</v>
      </c>
      <c r="E115">
        <v>4</v>
      </c>
      <c r="F115">
        <v>1</v>
      </c>
      <c r="G115">
        <v>160</v>
      </c>
      <c r="H115">
        <v>0</v>
      </c>
      <c r="I115">
        <v>0</v>
      </c>
      <c r="J115">
        <v>0</v>
      </c>
      <c r="K115">
        <v>0</v>
      </c>
    </row>
    <row r="116" spans="1:11" x14ac:dyDescent="0.35">
      <c r="A116" t="s">
        <v>394</v>
      </c>
      <c r="B116" t="s">
        <v>47</v>
      </c>
      <c r="C116">
        <v>70</v>
      </c>
      <c r="D116">
        <v>45</v>
      </c>
      <c r="E116">
        <v>7</v>
      </c>
      <c r="F116">
        <v>2</v>
      </c>
      <c r="G116">
        <v>155.56</v>
      </c>
      <c r="H116">
        <v>0</v>
      </c>
      <c r="I116">
        <v>0</v>
      </c>
      <c r="J116">
        <v>0</v>
      </c>
      <c r="K116">
        <v>0</v>
      </c>
    </row>
    <row r="117" spans="1:11" x14ac:dyDescent="0.35">
      <c r="A117" t="s">
        <v>395</v>
      </c>
      <c r="B117" t="s">
        <v>66</v>
      </c>
      <c r="C117">
        <v>20</v>
      </c>
      <c r="D117">
        <v>10</v>
      </c>
      <c r="E117">
        <v>2</v>
      </c>
      <c r="F117">
        <v>1</v>
      </c>
      <c r="G117">
        <v>200</v>
      </c>
      <c r="H117">
        <v>4</v>
      </c>
      <c r="I117">
        <v>25</v>
      </c>
      <c r="J117">
        <v>3</v>
      </c>
      <c r="K117">
        <v>6.25</v>
      </c>
    </row>
    <row r="118" spans="1:11" x14ac:dyDescent="0.35">
      <c r="A118" t="s">
        <v>396</v>
      </c>
      <c r="B118" t="s">
        <v>79</v>
      </c>
      <c r="C118">
        <v>60</v>
      </c>
      <c r="D118">
        <v>35</v>
      </c>
      <c r="E118">
        <v>6</v>
      </c>
      <c r="F118">
        <v>3</v>
      </c>
      <c r="G118">
        <v>171.43</v>
      </c>
      <c r="H118">
        <v>0</v>
      </c>
      <c r="I118">
        <v>0</v>
      </c>
      <c r="J118">
        <v>0</v>
      </c>
      <c r="K118">
        <v>0</v>
      </c>
    </row>
    <row r="119" spans="1:11" x14ac:dyDescent="0.35">
      <c r="A119" t="s">
        <v>397</v>
      </c>
      <c r="B119" t="s">
        <v>75</v>
      </c>
      <c r="C119">
        <v>0</v>
      </c>
      <c r="D119">
        <v>0</v>
      </c>
      <c r="E119">
        <v>0</v>
      </c>
      <c r="F119">
        <v>0</v>
      </c>
      <c r="G119">
        <v>0</v>
      </c>
      <c r="H119">
        <v>4</v>
      </c>
      <c r="I119">
        <v>18</v>
      </c>
      <c r="J119">
        <v>3</v>
      </c>
      <c r="K119">
        <v>4.5</v>
      </c>
    </row>
    <row r="120" spans="1:11" x14ac:dyDescent="0.35">
      <c r="A120" t="s">
        <v>398</v>
      </c>
      <c r="B120" t="s">
        <v>34</v>
      </c>
      <c r="C120">
        <v>80</v>
      </c>
      <c r="D120">
        <v>45</v>
      </c>
      <c r="E120">
        <v>8</v>
      </c>
      <c r="F120">
        <v>4</v>
      </c>
      <c r="G120">
        <v>177.78</v>
      </c>
      <c r="H120">
        <v>0</v>
      </c>
      <c r="I120">
        <v>0</v>
      </c>
      <c r="J120">
        <v>0</v>
      </c>
      <c r="K120">
        <v>0</v>
      </c>
    </row>
    <row r="121" spans="1:11" x14ac:dyDescent="0.35">
      <c r="A121" t="s">
        <v>399</v>
      </c>
      <c r="B121" t="s">
        <v>89</v>
      </c>
      <c r="C121">
        <v>0</v>
      </c>
      <c r="D121">
        <v>0</v>
      </c>
      <c r="E121">
        <v>0</v>
      </c>
      <c r="F121">
        <v>0</v>
      </c>
      <c r="G121">
        <v>0</v>
      </c>
      <c r="H121">
        <v>4</v>
      </c>
      <c r="I121">
        <v>30</v>
      </c>
      <c r="J121">
        <v>2</v>
      </c>
      <c r="K121">
        <v>7.5</v>
      </c>
    </row>
    <row r="122" spans="1:11" x14ac:dyDescent="0.35">
      <c r="A122" t="s">
        <v>400</v>
      </c>
      <c r="B122" t="s">
        <v>53</v>
      </c>
      <c r="C122">
        <v>50</v>
      </c>
      <c r="D122">
        <v>25</v>
      </c>
      <c r="E122">
        <v>5</v>
      </c>
      <c r="F122">
        <v>3</v>
      </c>
      <c r="G122">
        <v>200</v>
      </c>
      <c r="H122">
        <v>0</v>
      </c>
      <c r="I122">
        <v>0</v>
      </c>
      <c r="J122">
        <v>0</v>
      </c>
      <c r="K122">
        <v>0</v>
      </c>
    </row>
    <row r="123" spans="1:11" x14ac:dyDescent="0.35">
      <c r="A123" t="s">
        <v>401</v>
      </c>
      <c r="B123" t="s">
        <v>68</v>
      </c>
      <c r="C123">
        <v>0</v>
      </c>
      <c r="D123">
        <v>0</v>
      </c>
      <c r="E123">
        <v>0</v>
      </c>
      <c r="F123">
        <v>0</v>
      </c>
      <c r="G123">
        <v>0</v>
      </c>
      <c r="H123">
        <v>4</v>
      </c>
      <c r="I123">
        <v>28</v>
      </c>
      <c r="J123">
        <v>2</v>
      </c>
      <c r="K123">
        <v>7</v>
      </c>
    </row>
    <row r="124" spans="1:11" x14ac:dyDescent="0.35">
      <c r="A124" t="s">
        <v>402</v>
      </c>
      <c r="B124" t="s">
        <v>95</v>
      </c>
      <c r="C124">
        <v>70</v>
      </c>
      <c r="D124">
        <v>40</v>
      </c>
      <c r="E124">
        <v>7</v>
      </c>
      <c r="F124">
        <v>3</v>
      </c>
      <c r="G124">
        <v>175</v>
      </c>
      <c r="H124">
        <v>0</v>
      </c>
      <c r="I124">
        <v>0</v>
      </c>
      <c r="J124">
        <v>0</v>
      </c>
      <c r="K124">
        <v>0</v>
      </c>
    </row>
    <row r="125" spans="1:11" x14ac:dyDescent="0.35">
      <c r="A125" t="s">
        <v>403</v>
      </c>
      <c r="B125" t="s">
        <v>107</v>
      </c>
      <c r="C125">
        <v>0</v>
      </c>
      <c r="D125">
        <v>0</v>
      </c>
      <c r="E125">
        <v>0</v>
      </c>
      <c r="F125">
        <v>0</v>
      </c>
      <c r="G125">
        <v>0</v>
      </c>
      <c r="H125">
        <v>4</v>
      </c>
      <c r="I125">
        <v>35</v>
      </c>
      <c r="J125">
        <v>1</v>
      </c>
      <c r="K125">
        <v>8.75</v>
      </c>
    </row>
    <row r="126" spans="1:11" x14ac:dyDescent="0.35">
      <c r="A126" t="s">
        <v>404</v>
      </c>
      <c r="B126" t="s">
        <v>111</v>
      </c>
      <c r="C126">
        <v>85</v>
      </c>
      <c r="D126">
        <v>50</v>
      </c>
      <c r="E126">
        <v>8</v>
      </c>
      <c r="F126">
        <v>4</v>
      </c>
      <c r="G126">
        <v>170</v>
      </c>
      <c r="H126">
        <v>0</v>
      </c>
      <c r="I126">
        <v>0</v>
      </c>
      <c r="J126">
        <v>0</v>
      </c>
      <c r="K126">
        <v>0</v>
      </c>
    </row>
    <row r="127" spans="1:11" x14ac:dyDescent="0.35">
      <c r="A127" t="s">
        <v>405</v>
      </c>
      <c r="B127" t="s">
        <v>16</v>
      </c>
      <c r="C127">
        <v>0</v>
      </c>
      <c r="D127">
        <v>0</v>
      </c>
      <c r="E127">
        <v>0</v>
      </c>
      <c r="F127">
        <v>0</v>
      </c>
      <c r="G127">
        <v>0</v>
      </c>
      <c r="H127">
        <v>4</v>
      </c>
      <c r="I127">
        <v>22</v>
      </c>
      <c r="J127">
        <v>3</v>
      </c>
      <c r="K127">
        <v>5.5</v>
      </c>
    </row>
    <row r="128" spans="1:11" x14ac:dyDescent="0.35">
      <c r="A128" t="s">
        <v>406</v>
      </c>
      <c r="B128" t="s">
        <v>51</v>
      </c>
      <c r="C128">
        <v>0</v>
      </c>
      <c r="D128">
        <v>0</v>
      </c>
      <c r="E128">
        <v>0</v>
      </c>
      <c r="F128">
        <v>0</v>
      </c>
      <c r="G128">
        <v>0</v>
      </c>
      <c r="H128">
        <v>4</v>
      </c>
      <c r="I128">
        <v>30</v>
      </c>
      <c r="J128">
        <v>2</v>
      </c>
      <c r="K128">
        <v>7.5</v>
      </c>
    </row>
    <row r="129" spans="1:11" x14ac:dyDescent="0.35">
      <c r="A129" t="s">
        <v>407</v>
      </c>
      <c r="B129" t="s">
        <v>21</v>
      </c>
      <c r="C129">
        <v>60</v>
      </c>
      <c r="D129">
        <v>35</v>
      </c>
      <c r="E129">
        <v>6</v>
      </c>
      <c r="F129">
        <v>2</v>
      </c>
      <c r="G129">
        <v>171.43</v>
      </c>
      <c r="H129">
        <v>0</v>
      </c>
      <c r="I129">
        <v>0</v>
      </c>
      <c r="J129">
        <v>0</v>
      </c>
      <c r="K129">
        <v>0</v>
      </c>
    </row>
    <row r="130" spans="1:11" x14ac:dyDescent="0.35">
      <c r="A130" t="s">
        <v>408</v>
      </c>
      <c r="B130" t="s">
        <v>101</v>
      </c>
      <c r="C130">
        <v>0</v>
      </c>
      <c r="D130">
        <v>0</v>
      </c>
      <c r="E130">
        <v>0</v>
      </c>
      <c r="F130">
        <v>0</v>
      </c>
      <c r="G130">
        <v>0</v>
      </c>
      <c r="H130">
        <v>4</v>
      </c>
      <c r="I130">
        <v>30</v>
      </c>
      <c r="J130">
        <v>3</v>
      </c>
      <c r="K130">
        <v>7.5</v>
      </c>
    </row>
    <row r="131" spans="1:11" x14ac:dyDescent="0.35">
      <c r="A131" t="s">
        <v>409</v>
      </c>
      <c r="B131" t="s">
        <v>8</v>
      </c>
      <c r="C131">
        <v>75</v>
      </c>
      <c r="D131">
        <v>45</v>
      </c>
      <c r="E131">
        <v>7</v>
      </c>
      <c r="F131">
        <v>3</v>
      </c>
      <c r="G131">
        <v>166.67</v>
      </c>
      <c r="H131">
        <v>0</v>
      </c>
      <c r="I131">
        <v>0</v>
      </c>
      <c r="J131">
        <v>0</v>
      </c>
      <c r="K131">
        <v>0</v>
      </c>
    </row>
    <row r="132" spans="1:11" x14ac:dyDescent="0.35">
      <c r="A132" t="s">
        <v>410</v>
      </c>
      <c r="B132" t="s">
        <v>37</v>
      </c>
      <c r="C132">
        <v>0</v>
      </c>
      <c r="D132">
        <v>0</v>
      </c>
      <c r="E132">
        <v>0</v>
      </c>
      <c r="F132">
        <v>0</v>
      </c>
      <c r="G132">
        <v>0</v>
      </c>
      <c r="H132">
        <v>4</v>
      </c>
      <c r="I132">
        <v>28</v>
      </c>
      <c r="J132">
        <v>2</v>
      </c>
      <c r="K132">
        <v>7</v>
      </c>
    </row>
    <row r="133" spans="1:11" x14ac:dyDescent="0.35">
      <c r="A133" t="s">
        <v>411</v>
      </c>
      <c r="B133" t="s">
        <v>59</v>
      </c>
      <c r="C133">
        <v>65</v>
      </c>
      <c r="D133">
        <v>40</v>
      </c>
      <c r="E133">
        <v>6</v>
      </c>
      <c r="F133">
        <v>3</v>
      </c>
      <c r="G133">
        <v>162.5</v>
      </c>
      <c r="H133">
        <v>0</v>
      </c>
      <c r="I133">
        <v>0</v>
      </c>
      <c r="J133">
        <v>0</v>
      </c>
      <c r="K133">
        <v>0</v>
      </c>
    </row>
    <row r="134" spans="1:11" x14ac:dyDescent="0.35">
      <c r="A134" t="s">
        <v>412</v>
      </c>
      <c r="B134" t="s">
        <v>84</v>
      </c>
      <c r="C134">
        <v>95</v>
      </c>
      <c r="D134">
        <v>50</v>
      </c>
      <c r="E134">
        <v>10</v>
      </c>
      <c r="F134">
        <v>4</v>
      </c>
      <c r="G134">
        <v>190</v>
      </c>
      <c r="H134">
        <v>0</v>
      </c>
      <c r="I134">
        <v>0</v>
      </c>
      <c r="J134">
        <v>0</v>
      </c>
      <c r="K134">
        <v>0</v>
      </c>
    </row>
    <row r="135" spans="1:11" x14ac:dyDescent="0.35">
      <c r="A135" t="s">
        <v>413</v>
      </c>
      <c r="B135" t="s">
        <v>91</v>
      </c>
      <c r="C135">
        <v>0</v>
      </c>
      <c r="D135">
        <v>0</v>
      </c>
      <c r="E135">
        <v>0</v>
      </c>
      <c r="F135">
        <v>0</v>
      </c>
      <c r="G135">
        <v>0</v>
      </c>
      <c r="H135">
        <v>4</v>
      </c>
      <c r="I135">
        <v>25</v>
      </c>
      <c r="J135">
        <v>2</v>
      </c>
      <c r="K135">
        <v>6.25</v>
      </c>
    </row>
    <row r="136" spans="1:11" x14ac:dyDescent="0.35">
      <c r="A136" t="s">
        <v>414</v>
      </c>
      <c r="B136" t="s">
        <v>95</v>
      </c>
      <c r="C136">
        <v>80</v>
      </c>
      <c r="D136">
        <v>45</v>
      </c>
      <c r="E136">
        <v>8</v>
      </c>
      <c r="F136">
        <v>3</v>
      </c>
      <c r="G136">
        <v>177.78</v>
      </c>
      <c r="H136">
        <v>0</v>
      </c>
      <c r="I136">
        <v>0</v>
      </c>
      <c r="J136">
        <v>0</v>
      </c>
      <c r="K136">
        <v>0</v>
      </c>
    </row>
    <row r="137" spans="1:11" x14ac:dyDescent="0.35">
      <c r="A137" t="s">
        <v>415</v>
      </c>
      <c r="B137" t="s">
        <v>47</v>
      </c>
      <c r="C137">
        <v>45</v>
      </c>
      <c r="D137">
        <v>25</v>
      </c>
      <c r="E137">
        <v>4</v>
      </c>
      <c r="F137">
        <v>2</v>
      </c>
      <c r="G137">
        <v>180</v>
      </c>
      <c r="H137">
        <v>0</v>
      </c>
      <c r="I137">
        <v>0</v>
      </c>
      <c r="J137">
        <v>0</v>
      </c>
      <c r="K137">
        <v>0</v>
      </c>
    </row>
    <row r="138" spans="1:11" x14ac:dyDescent="0.35">
      <c r="A138" t="s">
        <v>416</v>
      </c>
      <c r="B138" t="s">
        <v>66</v>
      </c>
      <c r="C138">
        <v>35</v>
      </c>
      <c r="D138">
        <v>20</v>
      </c>
      <c r="E138">
        <v>4</v>
      </c>
      <c r="F138">
        <v>2</v>
      </c>
      <c r="G138">
        <v>175</v>
      </c>
      <c r="H138">
        <v>4</v>
      </c>
      <c r="I138">
        <v>30</v>
      </c>
      <c r="J138">
        <v>2</v>
      </c>
      <c r="K138">
        <v>7.5</v>
      </c>
    </row>
    <row r="139" spans="1:11" x14ac:dyDescent="0.35">
      <c r="A139" t="s">
        <v>417</v>
      </c>
      <c r="B139" t="s">
        <v>68</v>
      </c>
      <c r="C139">
        <v>0</v>
      </c>
      <c r="D139">
        <v>0</v>
      </c>
      <c r="E139">
        <v>0</v>
      </c>
      <c r="F139">
        <v>0</v>
      </c>
      <c r="G139">
        <v>0</v>
      </c>
      <c r="H139">
        <v>4</v>
      </c>
      <c r="I139">
        <v>25</v>
      </c>
      <c r="J139">
        <v>2</v>
      </c>
      <c r="K139">
        <v>6.25</v>
      </c>
    </row>
    <row r="140" spans="1:11" x14ac:dyDescent="0.35">
      <c r="A140" t="s">
        <v>418</v>
      </c>
      <c r="B140" t="s">
        <v>34</v>
      </c>
      <c r="C140">
        <v>90</v>
      </c>
      <c r="D140">
        <v>50</v>
      </c>
      <c r="E140">
        <v>9</v>
      </c>
      <c r="F140">
        <v>4</v>
      </c>
      <c r="G140">
        <v>180</v>
      </c>
      <c r="H140">
        <v>0</v>
      </c>
      <c r="I140">
        <v>0</v>
      </c>
      <c r="J140">
        <v>0</v>
      </c>
      <c r="K140">
        <v>0</v>
      </c>
    </row>
    <row r="141" spans="1:11" x14ac:dyDescent="0.35">
      <c r="A141" t="s">
        <v>419</v>
      </c>
      <c r="B141" t="s">
        <v>41</v>
      </c>
      <c r="C141">
        <v>50</v>
      </c>
      <c r="D141">
        <v>30</v>
      </c>
      <c r="E141">
        <v>5</v>
      </c>
      <c r="F141">
        <v>2</v>
      </c>
      <c r="G141">
        <v>166.67</v>
      </c>
      <c r="H141">
        <v>0</v>
      </c>
      <c r="I141">
        <v>0</v>
      </c>
      <c r="J141">
        <v>0</v>
      </c>
      <c r="K141">
        <v>0</v>
      </c>
    </row>
    <row r="142" spans="1:11" x14ac:dyDescent="0.35">
      <c r="A142" t="s">
        <v>420</v>
      </c>
      <c r="B142" t="s">
        <v>117</v>
      </c>
      <c r="C142">
        <v>80</v>
      </c>
      <c r="D142">
        <v>45</v>
      </c>
      <c r="E142">
        <v>8</v>
      </c>
      <c r="F142">
        <v>3</v>
      </c>
      <c r="G142">
        <v>177.78</v>
      </c>
      <c r="H142">
        <v>0</v>
      </c>
      <c r="I142">
        <v>0</v>
      </c>
      <c r="J142">
        <v>0</v>
      </c>
      <c r="K142">
        <v>0</v>
      </c>
    </row>
    <row r="143" spans="1:11" x14ac:dyDescent="0.35">
      <c r="A143" t="s">
        <v>421</v>
      </c>
      <c r="B143" t="s">
        <v>119</v>
      </c>
      <c r="C143">
        <v>60</v>
      </c>
      <c r="D143">
        <v>35</v>
      </c>
      <c r="E143">
        <v>6</v>
      </c>
      <c r="F143">
        <v>3</v>
      </c>
      <c r="G143">
        <v>171.43</v>
      </c>
      <c r="H143">
        <v>0</v>
      </c>
      <c r="I143">
        <v>0</v>
      </c>
      <c r="J143">
        <v>0</v>
      </c>
      <c r="K143">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6F4A6-9CE9-4D7B-B367-6E7DC591DFAF}">
  <dimension ref="A1:T56"/>
  <sheetViews>
    <sheetView zoomScale="10" zoomScaleNormal="10" workbookViewId="0">
      <selection activeCell="T10" sqref="T10"/>
    </sheetView>
  </sheetViews>
  <sheetFormatPr defaultRowHeight="14.5" x14ac:dyDescent="0.35"/>
  <cols>
    <col min="1" max="1" width="51" bestFit="1" customWidth="1"/>
    <col min="2" max="3" width="19.1796875" bestFit="1" customWidth="1"/>
    <col min="4" max="4" width="30.08984375" bestFit="1" customWidth="1"/>
    <col min="5" max="5" width="27.36328125" bestFit="1" customWidth="1"/>
    <col min="6" max="6" width="41.90625" bestFit="1" customWidth="1"/>
    <col min="7" max="7" width="36.453125" bestFit="1" customWidth="1"/>
    <col min="9" max="9" width="51" bestFit="1" customWidth="1"/>
    <col min="10" max="10" width="41.90625" bestFit="1" customWidth="1"/>
    <col min="11" max="11" width="61" bestFit="1" customWidth="1"/>
    <col min="12" max="14" width="15" bestFit="1" customWidth="1"/>
    <col min="19" max="19" width="51" bestFit="1" customWidth="1"/>
    <col min="20" max="20" width="36.453125" bestFit="1" customWidth="1"/>
    <col min="21" max="24" width="15" bestFit="1" customWidth="1"/>
  </cols>
  <sheetData>
    <row r="1" spans="1:20" x14ac:dyDescent="0.35">
      <c r="A1" s="11" t="s">
        <v>445</v>
      </c>
      <c r="B1" t="s">
        <v>339</v>
      </c>
      <c r="C1" t="s">
        <v>340</v>
      </c>
      <c r="D1" t="s">
        <v>334</v>
      </c>
      <c r="E1" t="s">
        <v>430</v>
      </c>
      <c r="F1" t="s">
        <v>446</v>
      </c>
      <c r="G1" t="s">
        <v>447</v>
      </c>
      <c r="I1" s="13" t="s">
        <v>445</v>
      </c>
      <c r="J1" s="13" t="s">
        <v>339</v>
      </c>
      <c r="S1" s="11" t="s">
        <v>445</v>
      </c>
      <c r="T1" t="s">
        <v>447</v>
      </c>
    </row>
    <row r="2" spans="1:20" x14ac:dyDescent="0.35">
      <c r="A2" s="12" t="s">
        <v>102</v>
      </c>
      <c r="B2" s="1"/>
      <c r="C2" s="1"/>
      <c r="D2" s="1"/>
      <c r="E2" s="1"/>
      <c r="F2" s="1"/>
      <c r="G2" s="1"/>
      <c r="I2" s="21" t="s">
        <v>112</v>
      </c>
      <c r="J2" s="22">
        <v>0</v>
      </c>
      <c r="S2" s="12" t="s">
        <v>102</v>
      </c>
      <c r="T2" s="1">
        <v>5.5</v>
      </c>
    </row>
    <row r="3" spans="1:20" x14ac:dyDescent="0.35">
      <c r="A3" s="14" t="s">
        <v>157</v>
      </c>
      <c r="B3" s="1"/>
      <c r="C3" s="1"/>
      <c r="D3" s="1"/>
      <c r="E3" s="1"/>
      <c r="F3" s="1"/>
      <c r="G3" s="1"/>
      <c r="I3" s="21" t="s">
        <v>64</v>
      </c>
      <c r="J3" s="22">
        <v>216</v>
      </c>
      <c r="S3" s="12" t="s">
        <v>85</v>
      </c>
      <c r="T3" s="1">
        <v>0</v>
      </c>
    </row>
    <row r="4" spans="1:20" x14ac:dyDescent="0.35">
      <c r="A4" s="17" t="s">
        <v>18</v>
      </c>
      <c r="B4" s="1">
        <v>22</v>
      </c>
      <c r="C4" s="1">
        <v>3</v>
      </c>
      <c r="D4" s="1">
        <v>0</v>
      </c>
      <c r="E4" s="1">
        <v>0</v>
      </c>
      <c r="F4" s="1">
        <v>0</v>
      </c>
      <c r="G4" s="1">
        <v>5.5</v>
      </c>
      <c r="I4" s="21" t="s">
        <v>102</v>
      </c>
      <c r="J4" s="22">
        <v>134</v>
      </c>
      <c r="S4" s="12" t="s">
        <v>76</v>
      </c>
      <c r="T4" s="1">
        <v>4.25</v>
      </c>
    </row>
    <row r="5" spans="1:20" x14ac:dyDescent="0.35">
      <c r="A5" s="12" t="s">
        <v>85</v>
      </c>
      <c r="B5" s="1"/>
      <c r="C5" s="1"/>
      <c r="D5" s="1"/>
      <c r="E5" s="1"/>
      <c r="F5" s="1"/>
      <c r="G5" s="1"/>
      <c r="I5" s="21" t="s">
        <v>82</v>
      </c>
      <c r="J5" s="22">
        <v>67</v>
      </c>
      <c r="S5" s="12" t="s">
        <v>67</v>
      </c>
      <c r="T5" s="1">
        <v>5.5</v>
      </c>
    </row>
    <row r="6" spans="1:20" x14ac:dyDescent="0.35">
      <c r="A6" s="14" t="s">
        <v>157</v>
      </c>
      <c r="B6" s="1"/>
      <c r="C6" s="1"/>
      <c r="D6" s="1"/>
      <c r="E6" s="1"/>
      <c r="F6" s="1"/>
      <c r="G6" s="1"/>
      <c r="I6" s="21" t="s">
        <v>116</v>
      </c>
      <c r="J6" s="22">
        <v>58</v>
      </c>
      <c r="S6" s="12" t="s">
        <v>92</v>
      </c>
      <c r="T6" s="1">
        <v>5.14</v>
      </c>
    </row>
    <row r="7" spans="1:20" x14ac:dyDescent="0.35">
      <c r="A7" s="17" t="s">
        <v>23</v>
      </c>
      <c r="B7" s="1">
        <v>0</v>
      </c>
      <c r="C7" s="1">
        <v>0</v>
      </c>
      <c r="D7" s="1">
        <v>99</v>
      </c>
      <c r="E7" s="1">
        <v>167</v>
      </c>
      <c r="F7" s="1">
        <v>335.38</v>
      </c>
      <c r="G7" s="1">
        <v>0</v>
      </c>
      <c r="I7" s="21" t="s">
        <v>42</v>
      </c>
      <c r="J7" s="22">
        <v>0</v>
      </c>
      <c r="S7" s="12" t="s">
        <v>90</v>
      </c>
      <c r="T7" s="1">
        <v>5</v>
      </c>
    </row>
    <row r="8" spans="1:20" x14ac:dyDescent="0.35">
      <c r="A8" s="12" t="s">
        <v>76</v>
      </c>
      <c r="B8" s="1"/>
      <c r="C8" s="1"/>
      <c r="D8" s="1"/>
      <c r="E8" s="1"/>
      <c r="F8" s="1"/>
      <c r="G8" s="1"/>
      <c r="I8" s="21" t="s">
        <v>72</v>
      </c>
      <c r="J8" s="22">
        <v>0</v>
      </c>
      <c r="S8" s="12" t="s">
        <v>423</v>
      </c>
      <c r="T8" s="1">
        <v>25.39</v>
      </c>
    </row>
    <row r="9" spans="1:20" x14ac:dyDescent="0.35">
      <c r="A9" s="14" t="s">
        <v>157</v>
      </c>
      <c r="B9" s="1"/>
      <c r="C9" s="1"/>
      <c r="D9" s="1"/>
      <c r="E9" s="1"/>
      <c r="F9" s="1"/>
      <c r="G9" s="1"/>
      <c r="I9" s="21" t="s">
        <v>38</v>
      </c>
      <c r="J9" s="22">
        <v>153</v>
      </c>
    </row>
    <row r="10" spans="1:20" x14ac:dyDescent="0.35">
      <c r="A10" s="17" t="s">
        <v>18</v>
      </c>
      <c r="B10" s="1">
        <v>17</v>
      </c>
      <c r="C10" s="1">
        <v>2</v>
      </c>
      <c r="D10" s="1">
        <v>0</v>
      </c>
      <c r="E10" s="1">
        <v>0</v>
      </c>
      <c r="F10" s="1">
        <v>0</v>
      </c>
      <c r="G10" s="1">
        <v>4.25</v>
      </c>
      <c r="I10" s="21" t="s">
        <v>57</v>
      </c>
      <c r="J10" s="22">
        <v>0</v>
      </c>
    </row>
    <row r="11" spans="1:20" x14ac:dyDescent="0.35">
      <c r="A11" s="12" t="s">
        <v>67</v>
      </c>
      <c r="B11" s="1"/>
      <c r="C11" s="1"/>
      <c r="D11" s="1"/>
      <c r="E11" s="1"/>
      <c r="F11" s="1"/>
      <c r="G11" s="1"/>
      <c r="I11" s="21" t="s">
        <v>54</v>
      </c>
      <c r="J11" s="22">
        <v>0</v>
      </c>
    </row>
    <row r="12" spans="1:20" x14ac:dyDescent="0.35">
      <c r="A12" s="14" t="s">
        <v>157</v>
      </c>
      <c r="B12" s="1"/>
      <c r="C12" s="1"/>
      <c r="D12" s="1"/>
      <c r="E12" s="1"/>
      <c r="F12" s="1"/>
      <c r="G12" s="1"/>
      <c r="I12" s="21" t="s">
        <v>32</v>
      </c>
      <c r="J12" s="22">
        <v>90</v>
      </c>
    </row>
    <row r="13" spans="1:20" x14ac:dyDescent="0.35">
      <c r="A13" s="17" t="s">
        <v>29</v>
      </c>
      <c r="B13" s="1">
        <v>22</v>
      </c>
      <c r="C13" s="1">
        <v>2</v>
      </c>
      <c r="D13" s="1">
        <v>10</v>
      </c>
      <c r="E13" s="1">
        <v>18</v>
      </c>
      <c r="F13" s="1">
        <v>180</v>
      </c>
      <c r="G13" s="1">
        <v>5.5</v>
      </c>
      <c r="I13" s="21" t="s">
        <v>118</v>
      </c>
      <c r="J13" s="22">
        <v>0</v>
      </c>
    </row>
    <row r="14" spans="1:20" x14ac:dyDescent="0.35">
      <c r="A14" s="12" t="s">
        <v>92</v>
      </c>
      <c r="B14" s="1"/>
      <c r="C14" s="1"/>
      <c r="D14" s="1"/>
      <c r="E14" s="1"/>
      <c r="F14" s="1"/>
      <c r="G14" s="1"/>
      <c r="I14" s="21" t="s">
        <v>22</v>
      </c>
      <c r="J14" s="22">
        <v>0</v>
      </c>
    </row>
    <row r="15" spans="1:20" x14ac:dyDescent="0.35">
      <c r="A15" s="14" t="s">
        <v>157</v>
      </c>
      <c r="B15" s="1"/>
      <c r="C15" s="1"/>
      <c r="D15" s="1"/>
      <c r="E15" s="1"/>
      <c r="F15" s="1"/>
      <c r="G15" s="1"/>
      <c r="I15" s="21" t="s">
        <v>17</v>
      </c>
      <c r="J15" s="22">
        <v>126</v>
      </c>
    </row>
    <row r="16" spans="1:20" x14ac:dyDescent="0.35">
      <c r="A16" s="17" t="s">
        <v>18</v>
      </c>
      <c r="B16" s="1">
        <v>18</v>
      </c>
      <c r="C16" s="1">
        <v>4</v>
      </c>
      <c r="D16" s="1">
        <v>0</v>
      </c>
      <c r="E16" s="1">
        <v>0</v>
      </c>
      <c r="F16" s="1">
        <v>0</v>
      </c>
      <c r="G16" s="1">
        <v>5.14</v>
      </c>
      <c r="I16" s="21" t="s">
        <v>106</v>
      </c>
      <c r="J16" s="22">
        <v>0</v>
      </c>
    </row>
    <row r="17" spans="1:10" x14ac:dyDescent="0.35">
      <c r="A17" s="12" t="s">
        <v>90</v>
      </c>
      <c r="B17" s="1"/>
      <c r="C17" s="1"/>
      <c r="D17" s="1"/>
      <c r="E17" s="1"/>
      <c r="F17" s="1"/>
      <c r="G17" s="1"/>
      <c r="I17" s="21" t="s">
        <v>85</v>
      </c>
      <c r="J17" s="22">
        <v>0</v>
      </c>
    </row>
    <row r="18" spans="1:10" x14ac:dyDescent="0.35">
      <c r="A18" s="14" t="s">
        <v>157</v>
      </c>
      <c r="B18" s="1"/>
      <c r="C18" s="1"/>
      <c r="D18" s="1"/>
      <c r="E18" s="1"/>
      <c r="F18" s="1"/>
      <c r="G18" s="1"/>
      <c r="I18" s="21" t="s">
        <v>108</v>
      </c>
      <c r="J18" s="22">
        <v>77</v>
      </c>
    </row>
    <row r="19" spans="1:10" x14ac:dyDescent="0.35">
      <c r="A19" s="17" t="s">
        <v>18</v>
      </c>
      <c r="B19" s="1">
        <v>20</v>
      </c>
      <c r="C19" s="1">
        <v>3</v>
      </c>
      <c r="D19" s="1">
        <v>0</v>
      </c>
      <c r="E19" s="1">
        <v>0</v>
      </c>
      <c r="F19" s="1">
        <v>0</v>
      </c>
      <c r="G19" s="1">
        <v>5</v>
      </c>
      <c r="I19" s="21" t="s">
        <v>76</v>
      </c>
      <c r="J19" s="22">
        <v>67</v>
      </c>
    </row>
    <row r="20" spans="1:10" x14ac:dyDescent="0.35">
      <c r="A20" s="12" t="s">
        <v>423</v>
      </c>
      <c r="B20" s="1">
        <v>99</v>
      </c>
      <c r="C20" s="1">
        <v>14</v>
      </c>
      <c r="D20" s="1">
        <v>109</v>
      </c>
      <c r="E20" s="1">
        <v>185</v>
      </c>
      <c r="F20" s="1">
        <v>515.38</v>
      </c>
      <c r="G20" s="1">
        <v>25.39</v>
      </c>
      <c r="I20" s="21" t="s">
        <v>99</v>
      </c>
      <c r="J20" s="22">
        <v>0</v>
      </c>
    </row>
    <row r="21" spans="1:10" x14ac:dyDescent="0.35">
      <c r="I21" s="21" t="s">
        <v>45</v>
      </c>
      <c r="J21" s="22">
        <v>21</v>
      </c>
    </row>
    <row r="22" spans="1:10" x14ac:dyDescent="0.35">
      <c r="I22" s="21" t="s">
        <v>80</v>
      </c>
      <c r="J22" s="22">
        <v>0</v>
      </c>
    </row>
    <row r="23" spans="1:10" x14ac:dyDescent="0.35">
      <c r="I23" s="21" t="s">
        <v>52</v>
      </c>
      <c r="J23" s="22">
        <v>85</v>
      </c>
    </row>
    <row r="24" spans="1:10" x14ac:dyDescent="0.35">
      <c r="I24" s="21" t="s">
        <v>60</v>
      </c>
      <c r="J24" s="22">
        <v>0</v>
      </c>
    </row>
    <row r="25" spans="1:10" x14ac:dyDescent="0.35">
      <c r="I25" s="21" t="s">
        <v>35</v>
      </c>
      <c r="J25" s="22">
        <v>0</v>
      </c>
    </row>
    <row r="26" spans="1:10" x14ac:dyDescent="0.35">
      <c r="I26" s="21" t="s">
        <v>67</v>
      </c>
      <c r="J26" s="22">
        <v>147</v>
      </c>
    </row>
    <row r="27" spans="1:10" x14ac:dyDescent="0.35">
      <c r="I27" s="21" t="s">
        <v>9</v>
      </c>
      <c r="J27" s="22">
        <v>0</v>
      </c>
    </row>
    <row r="28" spans="1:10" x14ac:dyDescent="0.35">
      <c r="I28" s="21" t="s">
        <v>28</v>
      </c>
      <c r="J28" s="22">
        <v>0</v>
      </c>
    </row>
    <row r="29" spans="1:10" x14ac:dyDescent="0.35">
      <c r="I29" s="21" t="s">
        <v>120</v>
      </c>
      <c r="J29" s="22">
        <v>0</v>
      </c>
    </row>
    <row r="30" spans="1:10" x14ac:dyDescent="0.35">
      <c r="I30" s="21" t="s">
        <v>92</v>
      </c>
      <c r="J30" s="22">
        <v>80</v>
      </c>
    </row>
    <row r="31" spans="1:10" x14ac:dyDescent="0.35">
      <c r="I31" s="21" t="s">
        <v>69</v>
      </c>
      <c r="J31" s="22">
        <v>113</v>
      </c>
    </row>
    <row r="32" spans="1:10" x14ac:dyDescent="0.35">
      <c r="I32" s="21" t="s">
        <v>48</v>
      </c>
      <c r="J32" s="22">
        <v>0</v>
      </c>
    </row>
    <row r="33" spans="1:11" x14ac:dyDescent="0.35">
      <c r="I33" s="21" t="s">
        <v>96</v>
      </c>
      <c r="J33" s="22">
        <v>0</v>
      </c>
    </row>
    <row r="34" spans="1:11" x14ac:dyDescent="0.35">
      <c r="I34" s="21" t="s">
        <v>90</v>
      </c>
      <c r="J34" s="22">
        <v>50</v>
      </c>
    </row>
    <row r="35" spans="1:11" x14ac:dyDescent="0.35">
      <c r="I35" s="23" t="s">
        <v>423</v>
      </c>
      <c r="J35" s="24">
        <v>1484</v>
      </c>
    </row>
    <row r="37" spans="1:11" x14ac:dyDescent="0.35">
      <c r="A37" s="11" t="s">
        <v>445</v>
      </c>
      <c r="B37" t="s">
        <v>340</v>
      </c>
      <c r="I37" s="11" t="s">
        <v>445</v>
      </c>
      <c r="J37" t="s">
        <v>446</v>
      </c>
      <c r="K37" t="s">
        <v>444</v>
      </c>
    </row>
    <row r="38" spans="1:11" x14ac:dyDescent="0.35">
      <c r="A38" s="12" t="s">
        <v>102</v>
      </c>
      <c r="B38" s="1"/>
      <c r="I38" s="12" t="s">
        <v>102</v>
      </c>
      <c r="J38" s="1"/>
      <c r="K38" s="1"/>
    </row>
    <row r="39" spans="1:11" x14ac:dyDescent="0.35">
      <c r="A39" s="14" t="s">
        <v>157</v>
      </c>
      <c r="B39" s="1"/>
      <c r="I39" s="14" t="s">
        <v>157</v>
      </c>
      <c r="J39" s="1"/>
      <c r="K39" s="1"/>
    </row>
    <row r="40" spans="1:11" x14ac:dyDescent="0.35">
      <c r="A40" s="17" t="s">
        <v>18</v>
      </c>
      <c r="B40" s="1">
        <v>3</v>
      </c>
      <c r="I40" s="17" t="s">
        <v>18</v>
      </c>
      <c r="J40" s="1">
        <v>0</v>
      </c>
      <c r="K40" s="15">
        <v>0</v>
      </c>
    </row>
    <row r="41" spans="1:11" x14ac:dyDescent="0.35">
      <c r="A41" s="12" t="s">
        <v>85</v>
      </c>
      <c r="B41" s="1"/>
      <c r="I41" s="12" t="s">
        <v>85</v>
      </c>
      <c r="J41" s="1"/>
      <c r="K41" s="1"/>
    </row>
    <row r="42" spans="1:11" x14ac:dyDescent="0.35">
      <c r="A42" s="14" t="s">
        <v>157</v>
      </c>
      <c r="B42" s="1"/>
      <c r="I42" s="14" t="s">
        <v>157</v>
      </c>
      <c r="J42" s="1"/>
      <c r="K42" s="1"/>
    </row>
    <row r="43" spans="1:11" x14ac:dyDescent="0.35">
      <c r="A43" s="17" t="s">
        <v>23</v>
      </c>
      <c r="B43" s="1">
        <v>0</v>
      </c>
      <c r="I43" s="17" t="s">
        <v>23</v>
      </c>
      <c r="J43" s="1">
        <v>335.38</v>
      </c>
      <c r="K43" s="15">
        <v>167.69</v>
      </c>
    </row>
    <row r="44" spans="1:11" x14ac:dyDescent="0.35">
      <c r="A44" s="12" t="s">
        <v>76</v>
      </c>
      <c r="B44" s="1"/>
      <c r="I44" s="12" t="s">
        <v>76</v>
      </c>
      <c r="J44" s="1"/>
      <c r="K44" s="1"/>
    </row>
    <row r="45" spans="1:11" x14ac:dyDescent="0.35">
      <c r="A45" s="14" t="s">
        <v>157</v>
      </c>
      <c r="B45" s="1"/>
      <c r="I45" s="14" t="s">
        <v>157</v>
      </c>
      <c r="J45" s="1"/>
      <c r="K45" s="1"/>
    </row>
    <row r="46" spans="1:11" x14ac:dyDescent="0.35">
      <c r="A46" s="17" t="s">
        <v>18</v>
      </c>
      <c r="B46" s="1">
        <v>2</v>
      </c>
      <c r="I46" s="17" t="s">
        <v>18</v>
      </c>
      <c r="J46" s="1">
        <v>0</v>
      </c>
      <c r="K46" s="15">
        <v>0</v>
      </c>
    </row>
    <row r="47" spans="1:11" x14ac:dyDescent="0.35">
      <c r="A47" s="12" t="s">
        <v>67</v>
      </c>
      <c r="B47" s="1"/>
      <c r="I47" s="12" t="s">
        <v>67</v>
      </c>
      <c r="J47" s="1"/>
      <c r="K47" s="1"/>
    </row>
    <row r="48" spans="1:11" x14ac:dyDescent="0.35">
      <c r="A48" s="14" t="s">
        <v>157</v>
      </c>
      <c r="B48" s="1"/>
      <c r="I48" s="14" t="s">
        <v>157</v>
      </c>
      <c r="J48" s="1"/>
      <c r="K48" s="1"/>
    </row>
    <row r="49" spans="1:11" x14ac:dyDescent="0.35">
      <c r="A49" s="17" t="s">
        <v>29</v>
      </c>
      <c r="B49" s="1">
        <v>2</v>
      </c>
      <c r="I49" s="17" t="s">
        <v>29</v>
      </c>
      <c r="J49" s="1">
        <v>180</v>
      </c>
      <c r="K49" s="15">
        <v>180</v>
      </c>
    </row>
    <row r="50" spans="1:11" x14ac:dyDescent="0.35">
      <c r="A50" s="12" t="s">
        <v>92</v>
      </c>
      <c r="B50" s="1"/>
      <c r="I50" s="12" t="s">
        <v>92</v>
      </c>
      <c r="J50" s="1"/>
      <c r="K50" s="1"/>
    </row>
    <row r="51" spans="1:11" x14ac:dyDescent="0.35">
      <c r="A51" s="14" t="s">
        <v>157</v>
      </c>
      <c r="B51" s="1"/>
      <c r="I51" s="14" t="s">
        <v>157</v>
      </c>
      <c r="J51" s="1"/>
      <c r="K51" s="1"/>
    </row>
    <row r="52" spans="1:11" x14ac:dyDescent="0.35">
      <c r="A52" s="17" t="s">
        <v>18</v>
      </c>
      <c r="B52" s="1">
        <v>4</v>
      </c>
      <c r="I52" s="17" t="s">
        <v>18</v>
      </c>
      <c r="J52" s="1">
        <v>0</v>
      </c>
      <c r="K52" s="15">
        <v>0</v>
      </c>
    </row>
    <row r="53" spans="1:11" x14ac:dyDescent="0.35">
      <c r="A53" s="12" t="s">
        <v>90</v>
      </c>
      <c r="B53" s="1"/>
      <c r="I53" s="12" t="s">
        <v>90</v>
      </c>
      <c r="J53" s="1"/>
      <c r="K53" s="1"/>
    </row>
    <row r="54" spans="1:11" x14ac:dyDescent="0.35">
      <c r="A54" s="14" t="s">
        <v>157</v>
      </c>
      <c r="B54" s="1"/>
      <c r="I54" s="14" t="s">
        <v>157</v>
      </c>
      <c r="J54" s="1"/>
      <c r="K54" s="1"/>
    </row>
    <row r="55" spans="1:11" x14ac:dyDescent="0.35">
      <c r="A55" s="17" t="s">
        <v>18</v>
      </c>
      <c r="B55" s="1">
        <v>3</v>
      </c>
      <c r="I55" s="17" t="s">
        <v>18</v>
      </c>
      <c r="J55" s="1">
        <v>0</v>
      </c>
      <c r="K55" s="15">
        <v>0</v>
      </c>
    </row>
    <row r="56" spans="1:11" x14ac:dyDescent="0.35">
      <c r="A56" s="12" t="s">
        <v>423</v>
      </c>
      <c r="B56" s="1">
        <v>14</v>
      </c>
      <c r="I56" s="12" t="s">
        <v>423</v>
      </c>
      <c r="J56" s="1">
        <v>515.38</v>
      </c>
      <c r="K56" s="15">
        <v>73.625714285714281</v>
      </c>
    </row>
  </sheetData>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041A-5D79-4476-890F-E34311E76886}">
  <dimension ref="A1:T32"/>
  <sheetViews>
    <sheetView tabSelected="1" zoomScale="72" zoomScaleNormal="72" workbookViewId="0">
      <selection activeCell="V9" sqref="V9"/>
    </sheetView>
  </sheetViews>
  <sheetFormatPr defaultRowHeight="14.5" x14ac:dyDescent="0.35"/>
  <cols>
    <col min="17" max="17" width="12.81640625" bestFit="1" customWidth="1"/>
  </cols>
  <sheetData>
    <row r="1" spans="1:20" x14ac:dyDescent="0.35">
      <c r="A1" s="25"/>
      <c r="B1" s="25"/>
      <c r="C1" s="25"/>
      <c r="D1" s="32" t="s">
        <v>450</v>
      </c>
      <c r="E1" s="33"/>
      <c r="F1" s="33"/>
      <c r="G1" s="33"/>
      <c r="H1" s="33"/>
      <c r="I1" s="33"/>
      <c r="J1" s="33"/>
      <c r="K1" s="33"/>
      <c r="L1" s="33"/>
      <c r="M1" s="35" t="s">
        <v>451</v>
      </c>
      <c r="N1" s="35"/>
      <c r="O1" s="35"/>
      <c r="P1" s="35"/>
      <c r="Q1" s="36" t="s">
        <v>449</v>
      </c>
      <c r="R1" s="37"/>
      <c r="S1" s="37"/>
      <c r="T1" s="37"/>
    </row>
    <row r="2" spans="1:20" x14ac:dyDescent="0.35">
      <c r="A2" s="25"/>
      <c r="B2" s="25"/>
      <c r="C2" s="25"/>
      <c r="D2" s="33"/>
      <c r="E2" s="33"/>
      <c r="F2" s="33"/>
      <c r="G2" s="33"/>
      <c r="H2" s="33"/>
      <c r="I2" s="33"/>
      <c r="J2" s="33"/>
      <c r="K2" s="33"/>
      <c r="L2" s="33"/>
      <c r="M2" s="35"/>
      <c r="N2" s="35"/>
      <c r="O2" s="35"/>
      <c r="P2" s="35"/>
      <c r="Q2" s="37"/>
      <c r="R2" s="37"/>
      <c r="S2" s="37"/>
      <c r="T2" s="37"/>
    </row>
    <row r="3" spans="1:20" ht="16" customHeight="1" x14ac:dyDescent="0.35">
      <c r="A3" s="25"/>
      <c r="B3" s="25"/>
      <c r="C3" s="25"/>
      <c r="D3" s="33"/>
      <c r="E3" s="33"/>
      <c r="F3" s="33"/>
      <c r="G3" s="33"/>
      <c r="H3" s="33"/>
      <c r="I3" s="33"/>
      <c r="J3" s="33"/>
      <c r="K3" s="33"/>
      <c r="L3" s="33"/>
      <c r="M3" s="38">
        <f>GETPIVOTDATA("[Measures].[Sum of Economy]",playershit!$S$1)</f>
        <v>25.39</v>
      </c>
      <c r="N3" s="38"/>
      <c r="O3" s="38"/>
      <c r="P3" s="38"/>
      <c r="Q3" s="30">
        <f>GETPIVOTDATA("[Measures].[Sum of Strike_Rate]",playershit!$I$37)</f>
        <v>515.38</v>
      </c>
      <c r="R3" s="30"/>
      <c r="S3" s="30"/>
      <c r="T3" s="30"/>
    </row>
    <row r="4" spans="1:20" s="29" customFormat="1" ht="15" thickBot="1" x14ac:dyDescent="0.4">
      <c r="A4" s="28"/>
      <c r="B4" s="28"/>
      <c r="C4" s="28"/>
      <c r="D4" s="34"/>
      <c r="E4" s="34"/>
      <c r="F4" s="34"/>
      <c r="G4" s="34"/>
      <c r="H4" s="34"/>
      <c r="I4" s="34"/>
      <c r="J4" s="34"/>
      <c r="K4" s="34"/>
      <c r="L4" s="34"/>
      <c r="M4" s="39"/>
      <c r="N4" s="39"/>
      <c r="O4" s="39"/>
      <c r="P4" s="39"/>
      <c r="Q4" s="31"/>
      <c r="R4" s="31"/>
      <c r="S4" s="31"/>
      <c r="T4" s="31"/>
    </row>
    <row r="5" spans="1:20" x14ac:dyDescent="0.35">
      <c r="A5" s="25"/>
      <c r="B5" s="25"/>
      <c r="C5" s="25"/>
      <c r="D5" s="25"/>
      <c r="E5" s="25"/>
      <c r="F5" s="25"/>
      <c r="G5" s="25"/>
      <c r="H5" s="25"/>
      <c r="I5" s="25"/>
      <c r="J5" s="25"/>
      <c r="K5" s="25"/>
      <c r="L5" s="25"/>
      <c r="M5" s="25"/>
      <c r="N5" s="25"/>
      <c r="O5" s="25"/>
      <c r="P5" s="25"/>
      <c r="Q5" s="25"/>
      <c r="R5" s="25"/>
      <c r="S5" s="25"/>
      <c r="T5" s="25"/>
    </row>
    <row r="6" spans="1:20" x14ac:dyDescent="0.35">
      <c r="A6" s="25"/>
      <c r="B6" s="25"/>
      <c r="C6" s="25"/>
      <c r="D6" s="25"/>
      <c r="E6" s="25"/>
      <c r="F6" s="25"/>
      <c r="G6" s="25"/>
      <c r="H6" s="25"/>
      <c r="I6" s="25"/>
      <c r="J6" s="25"/>
      <c r="K6" s="25"/>
      <c r="L6" s="25"/>
      <c r="M6" s="25"/>
      <c r="N6" s="25"/>
      <c r="O6" s="25"/>
      <c r="P6" s="25"/>
      <c r="Q6" s="25"/>
      <c r="R6" s="25"/>
      <c r="S6" s="25"/>
      <c r="T6" s="25"/>
    </row>
    <row r="7" spans="1:20" x14ac:dyDescent="0.35">
      <c r="A7" s="25"/>
      <c r="B7" s="25"/>
      <c r="C7" s="25"/>
      <c r="D7" s="25"/>
      <c r="E7" s="25"/>
      <c r="F7" s="25"/>
      <c r="G7" s="25"/>
      <c r="H7" s="25"/>
      <c r="I7" s="25"/>
      <c r="J7" s="25"/>
      <c r="K7" s="25"/>
      <c r="L7" s="25"/>
      <c r="M7" s="25"/>
      <c r="N7" s="25"/>
      <c r="O7" s="25"/>
      <c r="P7" s="25"/>
      <c r="Q7" s="25"/>
      <c r="R7" s="25"/>
      <c r="S7" s="25"/>
      <c r="T7" s="25"/>
    </row>
    <row r="8" spans="1:20" x14ac:dyDescent="0.35">
      <c r="A8" s="25"/>
      <c r="B8" s="25"/>
      <c r="C8" s="25"/>
      <c r="D8" s="25"/>
      <c r="E8" s="25"/>
      <c r="F8" s="25"/>
      <c r="G8" s="25"/>
      <c r="H8" s="25"/>
      <c r="I8" s="25"/>
      <c r="J8" s="25"/>
      <c r="K8" s="25"/>
      <c r="L8" s="25"/>
      <c r="M8" s="25"/>
      <c r="N8" s="25"/>
      <c r="O8" s="25"/>
      <c r="P8" s="25"/>
      <c r="Q8" s="25"/>
      <c r="R8" s="25"/>
      <c r="S8" s="25"/>
      <c r="T8" s="25"/>
    </row>
    <row r="9" spans="1:20" x14ac:dyDescent="0.35">
      <c r="A9" s="25"/>
      <c r="B9" s="25"/>
      <c r="C9" s="25"/>
      <c r="D9" s="25"/>
      <c r="E9" s="25"/>
      <c r="F9" s="25"/>
      <c r="G9" s="25"/>
      <c r="H9" s="25"/>
      <c r="I9" s="25"/>
      <c r="J9" s="25"/>
      <c r="K9" s="25"/>
      <c r="L9" s="25"/>
      <c r="M9" s="25"/>
      <c r="N9" s="25"/>
      <c r="O9" s="25"/>
      <c r="P9" s="25"/>
      <c r="Q9" s="25"/>
      <c r="R9" s="25"/>
      <c r="S9" s="25"/>
      <c r="T9" s="25"/>
    </row>
    <row r="10" spans="1:20" x14ac:dyDescent="0.35">
      <c r="A10" s="25"/>
      <c r="B10" s="25"/>
      <c r="C10" s="25"/>
      <c r="D10" s="25"/>
      <c r="E10" s="25"/>
      <c r="F10" s="25"/>
      <c r="G10" s="25"/>
      <c r="H10" s="25"/>
      <c r="I10" s="25"/>
      <c r="J10" s="25"/>
      <c r="K10" s="25"/>
      <c r="L10" s="25"/>
      <c r="M10" s="25"/>
      <c r="N10" s="25"/>
      <c r="O10" s="25"/>
      <c r="P10" s="25"/>
      <c r="Q10" s="25"/>
      <c r="R10" s="25"/>
      <c r="S10" s="25"/>
      <c r="T10" s="25"/>
    </row>
    <row r="11" spans="1:20" x14ac:dyDescent="0.35">
      <c r="A11" s="25"/>
      <c r="B11" s="25"/>
      <c r="C11" s="25"/>
      <c r="D11" s="25"/>
      <c r="E11" s="25"/>
      <c r="F11" s="25"/>
      <c r="G11" s="25"/>
      <c r="H11" s="25"/>
      <c r="I11" s="25"/>
      <c r="J11" s="25"/>
      <c r="K11" s="25"/>
      <c r="L11" s="25"/>
      <c r="M11" s="25"/>
      <c r="N11" s="25"/>
      <c r="O11" s="25"/>
      <c r="P11" s="25"/>
      <c r="Q11" s="25"/>
      <c r="R11" s="25"/>
      <c r="S11" s="25"/>
      <c r="T11" s="25"/>
    </row>
    <row r="12" spans="1:20" x14ac:dyDescent="0.35">
      <c r="A12" s="25"/>
      <c r="B12" s="25"/>
      <c r="C12" s="25"/>
      <c r="D12" s="25"/>
      <c r="E12" s="25"/>
      <c r="F12" s="25"/>
      <c r="G12" s="25"/>
      <c r="H12" s="25"/>
      <c r="I12" s="25"/>
      <c r="J12" s="25"/>
      <c r="K12" s="25"/>
      <c r="L12" s="25"/>
      <c r="M12" s="25"/>
      <c r="N12" s="25"/>
      <c r="O12" s="25"/>
      <c r="P12" s="25"/>
      <c r="Q12" s="25"/>
      <c r="R12" s="25"/>
      <c r="S12" s="25"/>
      <c r="T12" s="25"/>
    </row>
    <row r="13" spans="1:20" x14ac:dyDescent="0.35">
      <c r="A13" s="25"/>
      <c r="B13" s="25"/>
      <c r="C13" s="25"/>
      <c r="D13" s="25"/>
      <c r="E13" s="25"/>
      <c r="F13" s="25"/>
      <c r="G13" s="25"/>
      <c r="H13" s="25"/>
      <c r="I13" s="25"/>
      <c r="J13" s="25"/>
      <c r="K13" s="25"/>
      <c r="L13" s="25"/>
      <c r="M13" s="25"/>
      <c r="N13" s="25"/>
      <c r="O13" s="25"/>
      <c r="P13" s="25"/>
      <c r="Q13" s="25"/>
      <c r="R13" s="25"/>
      <c r="S13" s="25"/>
      <c r="T13" s="25"/>
    </row>
    <row r="14" spans="1:20" x14ac:dyDescent="0.35">
      <c r="A14" s="25"/>
      <c r="B14" s="25"/>
      <c r="C14" s="25"/>
      <c r="D14" s="25"/>
      <c r="E14" s="25"/>
      <c r="F14" s="25"/>
      <c r="G14" s="25"/>
      <c r="H14" s="25"/>
      <c r="I14" s="25"/>
      <c r="J14" s="25"/>
      <c r="K14" s="25"/>
      <c r="L14" s="25"/>
      <c r="M14" s="25"/>
      <c r="N14" s="25"/>
      <c r="O14" s="25"/>
      <c r="P14" s="25"/>
      <c r="Q14" s="25"/>
      <c r="R14" s="25"/>
      <c r="S14" s="25"/>
      <c r="T14" s="25"/>
    </row>
    <row r="15" spans="1:20" x14ac:dyDescent="0.35">
      <c r="A15" s="25"/>
      <c r="B15" s="25"/>
      <c r="C15" s="25"/>
      <c r="D15" s="25"/>
      <c r="E15" s="25"/>
      <c r="F15" s="25"/>
      <c r="G15" s="25"/>
      <c r="H15" s="25"/>
      <c r="I15" s="25"/>
      <c r="J15" s="25"/>
      <c r="K15" s="25"/>
      <c r="L15" s="25"/>
      <c r="M15" s="25"/>
      <c r="N15" s="25"/>
      <c r="O15" s="25"/>
      <c r="P15" s="25"/>
      <c r="Q15" s="25"/>
      <c r="R15" s="25"/>
      <c r="S15" s="25"/>
      <c r="T15" s="25"/>
    </row>
    <row r="16" spans="1:20" x14ac:dyDescent="0.35">
      <c r="A16" s="25"/>
      <c r="B16" s="25"/>
      <c r="C16" s="25"/>
      <c r="D16" s="25"/>
      <c r="E16" s="25"/>
      <c r="F16" s="25"/>
      <c r="G16" s="25"/>
      <c r="H16" s="25"/>
      <c r="I16" s="25"/>
      <c r="J16" s="25"/>
      <c r="K16" s="25"/>
      <c r="L16" s="25"/>
      <c r="M16" s="25"/>
      <c r="N16" s="25"/>
      <c r="O16" s="25"/>
      <c r="P16" s="25"/>
      <c r="Q16" s="25"/>
      <c r="R16" s="25"/>
      <c r="S16" s="25"/>
      <c r="T16" s="25"/>
    </row>
    <row r="17" spans="1:20" x14ac:dyDescent="0.35">
      <c r="A17" s="25"/>
      <c r="B17" s="25"/>
      <c r="C17" s="25"/>
      <c r="D17" s="25"/>
      <c r="E17" s="25"/>
      <c r="F17" s="25"/>
      <c r="G17" s="25"/>
      <c r="H17" s="25"/>
      <c r="I17" s="25"/>
      <c r="J17" s="25"/>
      <c r="K17" s="25"/>
      <c r="L17" s="25"/>
      <c r="M17" s="25"/>
      <c r="N17" s="25"/>
      <c r="O17" s="25"/>
      <c r="P17" s="25"/>
      <c r="Q17" s="25"/>
      <c r="R17" s="25"/>
      <c r="S17" s="25"/>
      <c r="T17" s="25"/>
    </row>
    <row r="18" spans="1:20" x14ac:dyDescent="0.35">
      <c r="A18" s="25"/>
      <c r="B18" s="25"/>
      <c r="C18" s="25"/>
      <c r="D18" s="25"/>
      <c r="E18" s="25"/>
      <c r="F18" s="25"/>
      <c r="G18" s="25"/>
      <c r="H18" s="25"/>
      <c r="I18" s="25"/>
      <c r="J18" s="25"/>
      <c r="K18" s="25"/>
      <c r="L18" s="25"/>
      <c r="M18" s="25"/>
      <c r="N18" s="25"/>
      <c r="O18" s="25"/>
      <c r="P18" s="25"/>
      <c r="Q18" s="25"/>
      <c r="R18" s="25"/>
      <c r="S18" s="25"/>
      <c r="T18" s="25"/>
    </row>
    <row r="19" spans="1:20" x14ac:dyDescent="0.35">
      <c r="A19" s="25"/>
      <c r="B19" s="25"/>
      <c r="C19" s="25"/>
      <c r="D19" s="25"/>
      <c r="E19" s="25"/>
      <c r="F19" s="25"/>
      <c r="G19" s="25"/>
      <c r="H19" s="25"/>
      <c r="I19" s="25"/>
      <c r="J19" s="25"/>
      <c r="K19" s="25"/>
      <c r="L19" s="25"/>
      <c r="M19" s="25"/>
      <c r="N19" s="25"/>
      <c r="O19" s="25"/>
      <c r="P19" s="25"/>
      <c r="Q19" s="25"/>
      <c r="R19" s="25"/>
      <c r="S19" s="25"/>
      <c r="T19" s="25"/>
    </row>
    <row r="20" spans="1:20" x14ac:dyDescent="0.35">
      <c r="A20" s="25"/>
      <c r="B20" s="25"/>
      <c r="C20" s="25"/>
      <c r="D20" s="25"/>
      <c r="E20" s="25"/>
      <c r="F20" s="25"/>
      <c r="G20" s="25"/>
      <c r="H20" s="25"/>
      <c r="I20" s="25"/>
      <c r="J20" s="25"/>
      <c r="K20" s="25"/>
      <c r="L20" s="25"/>
      <c r="M20" s="25"/>
      <c r="N20" s="25"/>
      <c r="O20" s="25"/>
      <c r="P20" s="25"/>
      <c r="Q20" s="25"/>
      <c r="R20" s="25"/>
      <c r="S20" s="25"/>
      <c r="T20" s="25"/>
    </row>
    <row r="21" spans="1:20" x14ac:dyDescent="0.35">
      <c r="A21" s="25"/>
      <c r="B21" s="25"/>
      <c r="C21" s="25"/>
      <c r="D21" s="25"/>
      <c r="E21" s="25"/>
      <c r="F21" s="25"/>
      <c r="G21" s="25"/>
      <c r="H21" s="25"/>
      <c r="I21" s="25"/>
      <c r="J21" s="25"/>
      <c r="K21" s="25"/>
      <c r="L21" s="25"/>
      <c r="M21" s="25"/>
      <c r="N21" s="25"/>
      <c r="O21" s="25"/>
      <c r="P21" s="25"/>
      <c r="Q21" s="25"/>
      <c r="R21" s="25"/>
      <c r="S21" s="25"/>
      <c r="T21" s="25"/>
    </row>
    <row r="22" spans="1:20" x14ac:dyDescent="0.35">
      <c r="A22" s="25"/>
      <c r="B22" s="25"/>
      <c r="C22" s="25"/>
      <c r="D22" s="25"/>
      <c r="E22" s="25"/>
      <c r="F22" s="25"/>
      <c r="G22" s="25"/>
      <c r="H22" s="25"/>
      <c r="I22" s="25"/>
      <c r="J22" s="25"/>
      <c r="K22" s="25"/>
      <c r="L22" s="25"/>
      <c r="M22" s="25"/>
      <c r="N22" s="25"/>
      <c r="O22" s="25"/>
      <c r="P22" s="25"/>
      <c r="Q22" s="25"/>
      <c r="R22" s="25"/>
      <c r="S22" s="25"/>
      <c r="T22" s="25"/>
    </row>
    <row r="23" spans="1:20" x14ac:dyDescent="0.35">
      <c r="A23" s="25"/>
      <c r="B23" s="25"/>
      <c r="C23" s="25"/>
      <c r="D23" s="25"/>
      <c r="E23" s="25"/>
      <c r="F23" s="25"/>
      <c r="G23" s="25"/>
      <c r="H23" s="25"/>
      <c r="I23" s="25"/>
      <c r="J23" s="25"/>
      <c r="K23" s="25"/>
      <c r="L23" s="25"/>
      <c r="M23" s="25"/>
      <c r="N23" s="25"/>
      <c r="O23" s="25"/>
      <c r="P23" s="25"/>
      <c r="Q23" s="25"/>
      <c r="R23" s="25"/>
      <c r="S23" s="25"/>
      <c r="T23" s="25"/>
    </row>
    <row r="24" spans="1:20" x14ac:dyDescent="0.35">
      <c r="A24" s="25"/>
      <c r="B24" s="25"/>
      <c r="C24" s="25"/>
      <c r="D24" s="25"/>
      <c r="E24" s="25"/>
      <c r="F24" s="25"/>
      <c r="G24" s="25"/>
      <c r="H24" s="25"/>
      <c r="I24" s="25"/>
      <c r="J24" s="25"/>
      <c r="K24" s="25"/>
      <c r="L24" s="25"/>
      <c r="M24" s="25"/>
      <c r="N24" s="25"/>
      <c r="O24" s="25"/>
      <c r="P24" s="25"/>
      <c r="Q24" s="25"/>
      <c r="R24" s="25"/>
      <c r="S24" s="25"/>
      <c r="T24" s="25"/>
    </row>
    <row r="25" spans="1:20" x14ac:dyDescent="0.35">
      <c r="A25" s="25"/>
      <c r="B25" s="25"/>
      <c r="C25" s="25"/>
      <c r="D25" s="25"/>
      <c r="E25" s="25"/>
      <c r="F25" s="25"/>
      <c r="G25" s="25"/>
      <c r="H25" s="25"/>
      <c r="I25" s="25"/>
      <c r="J25" s="25"/>
      <c r="K25" s="25"/>
      <c r="L25" s="25"/>
      <c r="M25" s="25"/>
      <c r="N25" s="25"/>
      <c r="O25" s="25"/>
      <c r="P25" s="25"/>
      <c r="Q25" s="25"/>
      <c r="R25" s="25"/>
      <c r="S25" s="25"/>
      <c r="T25" s="25"/>
    </row>
    <row r="26" spans="1:20" x14ac:dyDescent="0.35">
      <c r="A26" s="25"/>
      <c r="B26" s="25"/>
      <c r="C26" s="25"/>
      <c r="D26" s="25"/>
      <c r="E26" s="25"/>
      <c r="F26" s="25"/>
      <c r="G26" s="25"/>
      <c r="H26" s="25"/>
      <c r="I26" s="25"/>
      <c r="J26" s="25"/>
      <c r="K26" s="25"/>
      <c r="L26" s="25"/>
      <c r="M26" s="25"/>
      <c r="N26" s="25"/>
      <c r="O26" s="25"/>
      <c r="P26" s="25"/>
      <c r="Q26" s="25"/>
      <c r="R26" s="25"/>
      <c r="S26" s="25"/>
      <c r="T26" s="25"/>
    </row>
    <row r="27" spans="1:20" x14ac:dyDescent="0.35">
      <c r="A27" s="25"/>
      <c r="B27" s="25"/>
      <c r="C27" s="25"/>
      <c r="D27" s="25"/>
      <c r="E27" s="25"/>
      <c r="F27" s="25"/>
      <c r="G27" s="25"/>
      <c r="H27" s="25"/>
      <c r="I27" s="25"/>
      <c r="J27" s="25"/>
      <c r="K27" s="25"/>
      <c r="L27" s="25"/>
      <c r="M27" s="25"/>
      <c r="N27" s="25"/>
      <c r="O27" s="25"/>
      <c r="P27" s="25"/>
      <c r="Q27" s="25"/>
      <c r="R27" s="25"/>
      <c r="S27" s="25"/>
      <c r="T27" s="25"/>
    </row>
    <row r="28" spans="1:20" x14ac:dyDescent="0.35">
      <c r="A28" s="25"/>
      <c r="B28" s="25"/>
      <c r="C28" s="25"/>
      <c r="D28" s="25"/>
      <c r="E28" s="25"/>
      <c r="F28" s="25"/>
      <c r="G28" s="25"/>
      <c r="H28" s="25"/>
      <c r="I28" s="25"/>
      <c r="J28" s="25"/>
      <c r="K28" s="25"/>
      <c r="L28" s="25"/>
      <c r="M28" s="25"/>
      <c r="N28" s="25"/>
      <c r="O28" s="25"/>
      <c r="P28" s="25"/>
      <c r="Q28" s="25"/>
      <c r="R28" s="25"/>
      <c r="S28" s="25"/>
      <c r="T28" s="25"/>
    </row>
    <row r="29" spans="1:20" x14ac:dyDescent="0.35">
      <c r="A29" s="25"/>
      <c r="B29" s="25"/>
      <c r="C29" s="25"/>
      <c r="D29" s="25"/>
      <c r="E29" s="25"/>
      <c r="F29" s="25"/>
      <c r="G29" s="25"/>
      <c r="H29" s="25"/>
      <c r="I29" s="25"/>
      <c r="J29" s="25"/>
      <c r="K29" s="25"/>
      <c r="L29" s="25"/>
      <c r="M29" s="25"/>
      <c r="N29" s="25"/>
      <c r="O29" s="25"/>
      <c r="P29" s="25"/>
      <c r="Q29" s="25"/>
      <c r="R29" s="25"/>
      <c r="S29" s="25"/>
      <c r="T29" s="25"/>
    </row>
    <row r="30" spans="1:20" x14ac:dyDescent="0.35">
      <c r="A30" s="25"/>
      <c r="B30" s="25"/>
      <c r="C30" s="25"/>
      <c r="D30" s="25"/>
      <c r="E30" s="25"/>
      <c r="F30" s="25"/>
      <c r="G30" s="25"/>
      <c r="H30" s="25"/>
      <c r="I30" s="25"/>
      <c r="J30" s="25"/>
      <c r="K30" s="25"/>
      <c r="L30" s="25"/>
      <c r="M30" s="25"/>
      <c r="N30" s="25"/>
      <c r="O30" s="25"/>
      <c r="P30" s="25"/>
      <c r="Q30" s="25"/>
      <c r="R30" s="25"/>
      <c r="S30" s="25"/>
      <c r="T30" s="25"/>
    </row>
    <row r="31" spans="1:20" x14ac:dyDescent="0.35">
      <c r="A31" s="25"/>
      <c r="B31" s="25"/>
      <c r="C31" s="25"/>
      <c r="D31" s="25"/>
      <c r="E31" s="25"/>
      <c r="F31" s="25"/>
      <c r="G31" s="25"/>
      <c r="H31" s="25"/>
      <c r="I31" s="25"/>
      <c r="J31" s="25"/>
      <c r="K31" s="25"/>
      <c r="L31" s="25"/>
      <c r="M31" s="25"/>
      <c r="N31" s="25"/>
      <c r="O31" s="25"/>
      <c r="P31" s="25"/>
      <c r="Q31" s="25"/>
      <c r="R31" s="25"/>
      <c r="S31" s="25"/>
      <c r="T31" s="25"/>
    </row>
    <row r="32" spans="1:20" x14ac:dyDescent="0.35">
      <c r="A32" s="25"/>
      <c r="B32" s="25"/>
      <c r="C32" s="25"/>
      <c r="D32" s="25"/>
      <c r="E32" s="25"/>
      <c r="F32" s="25"/>
      <c r="G32" s="25"/>
      <c r="H32" s="25"/>
      <c r="I32" s="25"/>
      <c r="J32" s="25"/>
      <c r="K32" s="25"/>
      <c r="L32" s="25"/>
      <c r="M32" s="25"/>
      <c r="N32" s="25"/>
      <c r="O32" s="25"/>
      <c r="P32" s="25"/>
      <c r="Q32" s="25"/>
      <c r="R32" s="25"/>
      <c r="S32" s="25"/>
      <c r="T32" s="25"/>
    </row>
  </sheetData>
  <mergeCells count="5">
    <mergeCell ref="Q1:T2"/>
    <mergeCell ref="Q3:T4"/>
    <mergeCell ref="D1:L4"/>
    <mergeCell ref="M1:P2"/>
    <mergeCell ref="M3: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F23F5AF7-37A7-49C1-BD24-349619F551E2}">
  <ds:schemaRefs/>
</ds:datastoreItem>
</file>

<file path=customXml/itemProps2.xml><?xml version="1.0" encoding="utf-8"?>
<ds:datastoreItem xmlns:ds="http://schemas.openxmlformats.org/officeDocument/2006/customXml" ds:itemID="{3A273FB8-A875-4CC5-B440-B3DA0D7939C6}">
  <ds:schemaRefs/>
</ds:datastoreItem>
</file>

<file path=customXml/itemProps3.xml><?xml version="1.0" encoding="utf-8"?>
<ds:datastoreItem xmlns:ds="http://schemas.openxmlformats.org/officeDocument/2006/customXml" ds:itemID="{403426B7-3A9C-4326-ABEE-5DC98D7D276B}">
  <ds:schemaRefs/>
</ds:datastoreItem>
</file>

<file path=customXml/itemProps4.xml><?xml version="1.0" encoding="utf-8"?>
<ds:datastoreItem xmlns:ds="http://schemas.openxmlformats.org/officeDocument/2006/customXml" ds:itemID="{FEE98681-81D1-4733-8248-8847A519479E}">
  <ds:schemaRefs>
    <ds:schemaRef ds:uri="http://schemas.microsoft.com/DataMashup"/>
  </ds:schemaRefs>
</ds:datastoreItem>
</file>

<file path=customXml/itemProps5.xml><?xml version="1.0" encoding="utf-8"?>
<ds:datastoreItem xmlns:ds="http://schemas.openxmlformats.org/officeDocument/2006/customXml" ds:itemID="{057B9816-575F-40CD-AC25-C0E0A86384AE}">
  <ds:schemaRefs/>
</ds:datastoreItem>
</file>

<file path=customXml/itemProps6.xml><?xml version="1.0" encoding="utf-8"?>
<ds:datastoreItem xmlns:ds="http://schemas.openxmlformats.org/officeDocument/2006/customXml" ds:itemID="{841B9086-4E68-47E4-AEF9-5CE7EC7F6B4A}">
  <ds:schemaRefs/>
</ds:datastoreItem>
</file>

<file path=customXml/itemProps7.xml><?xml version="1.0" encoding="utf-8"?>
<ds:datastoreItem xmlns:ds="http://schemas.openxmlformats.org/officeDocument/2006/customXml" ds:itemID="{A3D3C88F-4EBA-4C0A-AEE8-BA3976141285}">
  <ds:schemaRefs/>
</ds:datastoreItem>
</file>

<file path=customXml/itemProps8.xml><?xml version="1.0" encoding="utf-8"?>
<ds:datastoreItem xmlns:ds="http://schemas.openxmlformats.org/officeDocument/2006/customXml" ds:itemID="{30658481-E35D-445A-987A-CC080306AAED}">
  <ds:schemaRefs/>
</ds:datastoreItem>
</file>

<file path=customXml/itemProps9.xml><?xml version="1.0" encoding="utf-8"?>
<ds:datastoreItem xmlns:ds="http://schemas.openxmlformats.org/officeDocument/2006/customXml" ds:itemID="{A175F0DC-8930-4F37-A477-B579893B6E42}">
  <ds:schemaRefs/>
</ds:datastoreItem>
</file>

<file path=customXml/itemProps10.xml><?xml version="1.0" encoding="utf-8"?>
<ds:datastoreItem xmlns:ds="http://schemas.openxmlformats.org/officeDocument/2006/customXml" ds:itemID="{4B03FECD-C093-47A7-9EF7-A0670F1FC370}">
  <ds:schemaRefs/>
</ds:datastoreItem>
</file>

<file path=customXml/itemProps11.xml><?xml version="1.0" encoding="utf-8"?>
<ds:datastoreItem xmlns:ds="http://schemas.openxmlformats.org/officeDocument/2006/customXml" ds:itemID="{A3766F98-30CD-49C9-AD54-A365C74BE96B}">
  <ds:schemaRefs/>
</ds:datastoreItem>
</file>

<file path=customXml/itemProps12.xml><?xml version="1.0" encoding="utf-8"?>
<ds:datastoreItem xmlns:ds="http://schemas.openxmlformats.org/officeDocument/2006/customXml" ds:itemID="{8BEF8D17-706D-49F4-97BA-0BCB9AB93C6E}">
  <ds:schemaRefs/>
</ds:datastoreItem>
</file>

<file path=customXml/itemProps13.xml><?xml version="1.0" encoding="utf-8"?>
<ds:datastoreItem xmlns:ds="http://schemas.openxmlformats.org/officeDocument/2006/customXml" ds:itemID="{AD63A89E-CD6E-47FB-AA0F-7965CC337D15}">
  <ds:schemaRefs/>
</ds:datastoreItem>
</file>

<file path=customXml/itemProps14.xml><?xml version="1.0" encoding="utf-8"?>
<ds:datastoreItem xmlns:ds="http://schemas.openxmlformats.org/officeDocument/2006/customXml" ds:itemID="{43EF2B9F-36D7-421B-8C6D-E37CD1D7D3FB}">
  <ds:schemaRefs/>
</ds:datastoreItem>
</file>

<file path=customXml/itemProps15.xml><?xml version="1.0" encoding="utf-8"?>
<ds:datastoreItem xmlns:ds="http://schemas.openxmlformats.org/officeDocument/2006/customXml" ds:itemID="{0D8157F1-426E-4204-AC5E-B16ECF5B0D71}">
  <ds:schemaRefs/>
</ds:datastoreItem>
</file>

<file path=customXml/itemProps16.xml><?xml version="1.0" encoding="utf-8"?>
<ds:datastoreItem xmlns:ds="http://schemas.openxmlformats.org/officeDocument/2006/customXml" ds:itemID="{B2BE9B71-7D0C-44B2-9565-71C34D072BA0}">
  <ds:schemaRefs/>
</ds:datastoreItem>
</file>

<file path=customXml/itemProps17.xml><?xml version="1.0" encoding="utf-8"?>
<ds:datastoreItem xmlns:ds="http://schemas.openxmlformats.org/officeDocument/2006/customXml" ds:itemID="{4543F52A-07B4-4E51-B455-A7780369968F}">
  <ds:schemaRefs/>
</ds:datastoreItem>
</file>

<file path=customXml/itemProps18.xml><?xml version="1.0" encoding="utf-8"?>
<ds:datastoreItem xmlns:ds="http://schemas.openxmlformats.org/officeDocument/2006/customXml" ds:itemID="{C6A7FC9E-C9C6-4BF1-801C-E5BE36C1F12C}">
  <ds:schemaRefs/>
</ds:datastoreItem>
</file>

<file path=customXml/itemProps19.xml><?xml version="1.0" encoding="utf-8"?>
<ds:datastoreItem xmlns:ds="http://schemas.openxmlformats.org/officeDocument/2006/customXml" ds:itemID="{9B8F7E08-5DD1-45DC-9C60-E3A4423D9022}">
  <ds:schemaRefs/>
</ds:datastoreItem>
</file>

<file path=customXml/itemProps20.xml><?xml version="1.0" encoding="utf-8"?>
<ds:datastoreItem xmlns:ds="http://schemas.openxmlformats.org/officeDocument/2006/customXml" ds:itemID="{71519D66-6ED1-4EEC-B106-56A8D13F7F66}">
  <ds:schemaRefs/>
</ds:datastoreItem>
</file>

<file path=customXml/itemProps21.xml><?xml version="1.0" encoding="utf-8"?>
<ds:datastoreItem xmlns:ds="http://schemas.openxmlformats.org/officeDocument/2006/customXml" ds:itemID="{DB85B257-3DCA-47E4-B45A-230B00209C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fact_player</vt:lpstr>
      <vt:lpstr>Team_summery</vt:lpstr>
      <vt:lpstr>Team performace  dashboard </vt:lpstr>
      <vt:lpstr>player_summary</vt:lpstr>
      <vt:lpstr>fact_match</vt:lpstr>
      <vt:lpstr>dim_venue</vt:lpstr>
      <vt:lpstr>dim_team</vt:lpstr>
      <vt:lpstr>dim_player</vt:lpstr>
      <vt:lpstr>Sheet1</vt:lpstr>
      <vt:lpstr>playershit</vt:lpstr>
      <vt:lpstr>playerDashboard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jadav</dc:creator>
  <cp:lastModifiedBy>hitesh jadav</cp:lastModifiedBy>
  <dcterms:created xsi:type="dcterms:W3CDTF">2026-06-27T15:31:23Z</dcterms:created>
  <dcterms:modified xsi:type="dcterms:W3CDTF">2026-06-29T18:51:19Z</dcterms:modified>
</cp:coreProperties>
</file>